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U_M1JY5\PycharmProjects\data-gen\datagen\params\"/>
    </mc:Choice>
  </mc:AlternateContent>
  <xr:revisionPtr revIDLastSave="0" documentId="13_ncr:1_{A64414ED-0BD1-45C7-9E82-E6A395A3FEAA}" xr6:coauthVersionLast="36" xr6:coauthVersionMax="36" xr10:uidLastSave="{00000000-0000-0000-0000-000000000000}"/>
  <bookViews>
    <workbookView xWindow="0" yWindow="0" windowWidth="25920" windowHeight="11475" activeTab="2" xr2:uid="{00000000-000D-0000-FFFF-FFFF00000000}"/>
  </bookViews>
  <sheets>
    <sheet name="Инструкция" sheetId="1" r:id="rId1"/>
    <sheet name="Constant List" sheetId="2" state="hidden" r:id="rId2"/>
    <sheet name="tables" sheetId="3" r:id="rId3"/>
    <sheet name="queries" sheetId="4" r:id="rId4"/>
    <sheet name="company_groups" sheetId="5" r:id="rId5"/>
    <sheet name="subjects" sheetId="6" r:id="rId6"/>
  </sheets>
  <definedNames>
    <definedName name="_xlnm._FilterDatabase" localSheetId="4" hidden="1">company_groups!$A$1:$K$6</definedName>
    <definedName name="_xlnm._FilterDatabase" localSheetId="3" hidden="1">queries!$A$1:$D$20</definedName>
    <definedName name="_xlnm._FilterDatabase" localSheetId="5" hidden="1">subjects!$A$1:$K$8</definedName>
    <definedName name="_xlnm._FilterDatabase" localSheetId="2" hidden="1">tables!$A$1:$G$200</definedName>
    <definedName name="BOOL_VALUES">'Constant List'!$H$2:$H$3</definedName>
    <definedName name="GEN_TYPES">'Constant List'!$A$2:$A$7</definedName>
    <definedName name="OUTPUT_TYPES_BOOLEAN">'Constant List'!$R$2:$R$4</definedName>
    <definedName name="OUTPUT_TYPES_DATE">'Constant List'!$P$2:$P$5</definedName>
    <definedName name="OUTPUT_TYPES_FLOAT">'Constant List'!$O$2:$O$4</definedName>
    <definedName name="OUTPUT_TYPES_INT">'Constant List'!$N$2:$N$5</definedName>
    <definedName name="OUTPUT_TYPES_STRING">'Constant List'!$M$2:$M$3</definedName>
    <definedName name="OUTPUT_TYPES_TIMESTAMP">'Constant List'!$Q$2:$Q$5</definedName>
  </definedNames>
  <calcPr calcId="191029"/>
</workbook>
</file>

<file path=xl/calcChain.xml><?xml version="1.0" encoding="utf-8"?>
<calcChain xmlns="http://schemas.openxmlformats.org/spreadsheetml/2006/main">
  <c r="K8" i="6" l="1"/>
  <c r="J8" i="6"/>
  <c r="I8" i="6"/>
  <c r="K7" i="6"/>
  <c r="J7" i="6"/>
  <c r="I7" i="6"/>
  <c r="K6" i="6"/>
  <c r="J6" i="6"/>
  <c r="I6" i="6"/>
  <c r="K5" i="6"/>
  <c r="J5" i="6"/>
  <c r="I5" i="6"/>
  <c r="K4" i="6"/>
  <c r="J4" i="6"/>
  <c r="I4" i="6"/>
  <c r="K3" i="6"/>
  <c r="J3" i="6"/>
  <c r="I3" i="6"/>
  <c r="K2" i="6"/>
  <c r="J2" i="6"/>
  <c r="I2" i="6"/>
  <c r="K6" i="5"/>
  <c r="J6" i="5"/>
  <c r="I6" i="5"/>
  <c r="K5" i="5"/>
  <c r="J5" i="5"/>
  <c r="I5" i="5"/>
  <c r="K4" i="5"/>
  <c r="J4" i="5"/>
  <c r="I4" i="5"/>
  <c r="K3" i="5"/>
  <c r="J3" i="5"/>
  <c r="I3" i="5"/>
  <c r="K2" i="5"/>
  <c r="J2" i="5"/>
  <c r="I2" i="5"/>
</calcChain>
</file>

<file path=xl/sharedStrings.xml><?xml version="1.0" encoding="utf-8"?>
<sst xmlns="http://schemas.openxmlformats.org/spreadsheetml/2006/main" count="208" uniqueCount="143">
  <si>
    <t>Шаблон DataGen: existing Hive/Iceberg tables + compare queries</t>
  </si>
  <si>
    <t>Шаг 1</t>
  </si>
  <si>
    <t>На листе tables заполните table_name, total_rows, явные target tables и общий write_mode.</t>
  </si>
  <si>
    <t>Шаг 2</t>
  </si>
  <si>
    <t>Для каждой строки из tables используйте отдельный лист с именем table_name.</t>
  </si>
  <si>
    <t>Шаг 3</t>
  </si>
  <si>
    <t>На листе queries укажите ровно два SQL: hive_sql и iceberg_sql. Сравниваются только результаты этих запросов.</t>
  </si>
  <si>
    <t>Шаг 4</t>
  </si>
  <si>
    <t>Если поле есть только в одном engine, не возвращайте его в compare SQL. Такие поля могут жить в parquet, но не должны участвовать в сверке.</t>
  </si>
  <si>
    <t>Шаг 5</t>
  </si>
  <si>
    <t>DATE/TIMESTAMP колонки из результата compare автоматически исключаются перед нормализацией. Если нужно сравнивать день или месяц, приводите его в SQL к INT или STRING.</t>
  </si>
  <si>
    <t>Шаг 6</t>
  </si>
  <si>
    <t>Дополнительные поля ignore в queries задаются строкой через запятую: alias1, alias2, alias3. Они расширяют built-in ignore словарь техполей для engine.</t>
  </si>
  <si>
    <t>Шаг 7</t>
  </si>
  <si>
    <t>В sheet таблицы каждая строка должна быть ровно одного типа: generated, foreign key или derived.</t>
  </si>
  <si>
    <t>Шаг 8</t>
  </si>
  <si>
    <t>generated: заполнены column_name + gen_data_type. output_data_type опционален, остальные специальные поля пустые.</t>
  </si>
  <si>
    <t>Шаг 9</t>
  </si>
  <si>
    <t>foreign key: заполнен только foreign_key. gen_data_type и output_data_type не указываются вручную, constraints допускает только null_ratio.</t>
  </si>
  <si>
    <t>Шаг 10</t>
  </si>
  <si>
    <t>derived: заполнены derive + output_data_type. gen_data_type, constraints и foreign_key остаются пустыми.</t>
  </si>
  <si>
    <t>Шаг 11</t>
  </si>
  <si>
    <t>engine_scope: ALL по умолчанию. HIVE_ONLY и ICEBERG_ONLY используйте только для колонок, которые реально нужны одному движку.</t>
  </si>
  <si>
    <t>Шаг 12</t>
  </si>
  <si>
    <t>Если target column нет в parquet: nullable -&gt; loader ставит NULL; non-nullable -&gt; загрузка падает. Broad autofill по type defaults в v1 не используется.</t>
  </si>
  <si>
    <t>Колонки листа tables</t>
  </si>
  <si>
    <t>table_name</t>
  </si>
  <si>
    <t>Обязательное поле. Логическое имя таблицы в DataGen и имя sheet. Должно быть уникальным в workbook.</t>
  </si>
  <si>
    <t>total_rows</t>
  </si>
  <si>
    <t>Обязательное поле. Количество строк для генерации.</t>
  </si>
  <si>
    <t>hive_target_table</t>
  </si>
  <si>
    <t>Обязательное поле. Полное имя существующей Hive-таблицы.</t>
  </si>
  <si>
    <t>iceberg_target_table</t>
  </si>
  <si>
    <t>Обязательное поле. Полное имя существующей Iceberg-таблицы.</t>
  </si>
  <si>
    <t>write_mode</t>
  </si>
  <si>
    <t>Обязательное поле. Один общий режим записи: OVERWRITE_TABLE, OVERWRITE_PARTITIONS, APPEND.</t>
  </si>
  <si>
    <t>partition metadata</t>
  </si>
  <si>
    <t>Не задаётся в workbook. Partition behavior определяется реальной target table и выбранным write_mode.</t>
  </si>
  <si>
    <t/>
  </si>
  <si>
    <t>Колонки листа table_name</t>
  </si>
  <si>
    <t>column_name</t>
  </si>
  <si>
    <t>Обязательное поле. Имя итоговой колонки в parquet и/или target table.</t>
  </si>
  <si>
    <t>gen_data_type</t>
  </si>
  <si>
    <t>Обязательное только для generated-колонки. STRING, INT, FLOAT, DATE, TIMESTAMP, BOOLEAN.</t>
  </si>
  <si>
    <t>output_data_type</t>
  </si>
  <si>
    <t>Опционально для generated, обязательно для derived, пусто для foreign key.</t>
  </si>
  <si>
    <t>is_primary_key</t>
  </si>
  <si>
    <t>Опционально. TRUE только для generated-колонок. Для PK система сама применяет null_ratio=0 и is_unique=true.</t>
  </si>
  <si>
    <t>constraints</t>
  </si>
  <si>
    <t>Опционально только для generated. Формат key=value; key=value. Для foreign key допустим только null_ratio, для derived поле должно быть пустым.</t>
  </si>
  <si>
    <t>foreign_key</t>
  </si>
  <si>
    <t>Формат: table_name="..."; column_name="..."; relation_type="ONE_TO_MANY|ONE_TO_ONE".</t>
  </si>
  <si>
    <t>engine_scope</t>
  </si>
  <si>
    <t>Опционально. ALL | HIVE_ONLY | ICEBERG_ONLY. Если пусто, трактуется как ALL.</t>
  </si>
  <si>
    <t>derive</t>
  </si>
  <si>
    <t>Формат: source_column="VALUE_DAY"; rule="YYYYMMDD|YYYY|MM". Используется только для derived-колонок. source_column должен ссылаться на generated DATE/TIMESTAMP-колонку.</t>
  </si>
  <si>
    <t>Колонки листа queries</t>
  </si>
  <si>
    <t>hive_sql</t>
  </si>
  <si>
    <t>Обязательное поле. Hive SQL, который возвращает только сравнимые result columns.</t>
  </si>
  <si>
    <t>iceberg_sql</t>
  </si>
  <si>
    <t>Обязательное поле. Iceberg SQL с той же бизнес-семантикой, что и hive_sql.</t>
  </si>
  <si>
    <t>hive_exclude_columns</t>
  </si>
  <si>
    <t>Опционально. Дополнительные alias-колонки через запятую, которые нужно исключить из compare результата Hive.</t>
  </si>
  <si>
    <t>iceberg_exclude_columns</t>
  </si>
  <si>
    <t>Опционально. Дополнительные alias-колонки через запятую, которые нужно исключить из compare результата Iceberg.</t>
  </si>
  <si>
    <t>Corner cases</t>
  </si>
  <si>
    <t>foreign_key + derive</t>
  </si>
  <si>
    <t>Одновременно запрещены.</t>
  </si>
  <si>
    <t>derived from derived</t>
  </si>
  <si>
    <t>Запрещено. source_column должен ссылаться на generated DATE/TIMESTAMP-колонку этой же таблицы.</t>
  </si>
  <si>
    <t>partition columns</t>
  </si>
  <si>
    <t>OVERWRITE_PARTITIONS используйте только для реально partitioned target tables.</t>
  </si>
  <si>
    <t>query compare</t>
  </si>
  <si>
    <t>После ignore и удаления DATE/TIMESTAMP схемы query results должны совпадать. Иначе compare падает.</t>
  </si>
  <si>
    <t>Data Type</t>
  </si>
  <si>
    <t>Constraint Hint</t>
  </si>
  <si>
    <t>Bool</t>
  </si>
  <si>
    <t>Foreign Key Example</t>
  </si>
  <si>
    <t>Derive Example</t>
  </si>
  <si>
    <t>Write Mode</t>
  </si>
  <si>
    <t>Engine Scope</t>
  </si>
  <si>
    <t>Derive Rule</t>
  </si>
  <si>
    <t>STRING</t>
  </si>
  <si>
    <t>Формат constraints:
null_ratio=0..1;
is_unique=true/false;
allowed_values=["A", "B"];
length=10;
character_set="letters|digits|alphanumeric";
case_mode="mixed|lower|upper";
regular_expr="^[A-Z0-9]{6}$"</t>
  </si>
  <si>
    <t>TRUE</t>
  </si>
  <si>
    <t>table_name="company_groups";
column_name="INN";
relation_type="ONE_TO_MANY|ONE_TO_ONE"</t>
  </si>
  <si>
    <t>source_column="VALUE_DAY";
rule="YYYYMMDD|YYYY|MM"</t>
  </si>
  <si>
    <t>OVERWRITE_TABLE</t>
  </si>
  <si>
    <t>ALL</t>
  </si>
  <si>
    <t>YYYYMMDD</t>
  </si>
  <si>
    <t>INT</t>
  </si>
  <si>
    <t>Формат constraints:
null_ratio=0..1;
is_unique=true/false;
allowed_values=[1, 2, 3];
min_value=0;
max_value=1000</t>
  </si>
  <si>
    <t>FALSE</t>
  </si>
  <si>
    <t>OVERWRITE_PARTITIONS</t>
  </si>
  <si>
    <t>HIVE_ONLY</t>
  </si>
  <si>
    <t>YYYY</t>
  </si>
  <si>
    <t>FLOAT</t>
  </si>
  <si>
    <t>Формат constraints:
null_ratio=0..1;
is_unique=true/false;
allowed_values=[10.5, 20.25];
min_value=0.0;
max_value=1000.0;
precision=2</t>
  </si>
  <si>
    <t>APPEND</t>
  </si>
  <si>
    <t>ICEBERG_ONLY</t>
  </si>
  <si>
    <t>MM</t>
  </si>
  <si>
    <t>DATE</t>
  </si>
  <si>
    <t>Формат constraints:
null_ratio=0..1;
is_unique=true/false;
allowed_values=["2024-01-01", "2024-01-02"];
min_value="2024-01-01";
max_value="2024-12-31";
date_format="%Y-%m-%d"</t>
  </si>
  <si>
    <t>TIMESTAMP</t>
  </si>
  <si>
    <t>Формат constraints:
null_ratio=0..1;
is_unique=true/false;
allowed_values=["2024-01-01 00:00:00", "2024-01-01 00:01:00"];
min_timestamp="2024-01-01 00:00:00";
max_timestamp="2024-12-31 23:59:59";
timestamp_format="%Y-%m-%d %H:%M:%S"</t>
  </si>
  <si>
    <t>BOOLEAN</t>
  </si>
  <si>
    <t>Формат constraints:
null_ratio=0..1;
is_unique=true/false;
allowed_values=[true, false]</t>
  </si>
  <si>
    <t>company_groups</t>
  </si>
  <si>
    <t>subjects</t>
  </si>
  <si>
    <t>date_part, year_part, month_part</t>
  </si>
  <si>
    <t>Подсказка</t>
  </si>
  <si>
    <t>Пример заполнения foreign_key</t>
  </si>
  <si>
    <t>Пример заполнения derive</t>
  </si>
  <si>
    <t>INN</t>
  </si>
  <si>
    <t>digits_count=10</t>
  </si>
  <si>
    <t>GROUP_ID_DM</t>
  </si>
  <si>
    <t>null_ratio=0; min_value=1; max_value=6000000</t>
  </si>
  <si>
    <t>MAIN_COMPANY_FLG_DM</t>
  </si>
  <si>
    <t>allowed_values=[0, 1]</t>
  </si>
  <si>
    <t>VALUE_DAY</t>
  </si>
  <si>
    <t>min_value="2025-01-01"; max_value="2025-12-31"</t>
  </si>
  <si>
    <t>DATE_PART</t>
  </si>
  <si>
    <t>source_column="VALUE_DAY"; rule="YYYYMMDD"</t>
  </si>
  <si>
    <t>STYPE</t>
  </si>
  <si>
    <t>allowed_values=["c", "cpr"]</t>
  </si>
  <si>
    <t>SINN</t>
  </si>
  <si>
    <t>table_name="company_groups"; column_name="INN"; relation_type="ONE_TO_MANY"</t>
  </si>
  <si>
    <t>SOGRN</t>
  </si>
  <si>
    <t>null_ratio=0.1; min_value=1000000000000; max_value=999999999999999</t>
  </si>
  <si>
    <t>SPIN</t>
  </si>
  <si>
    <t>null_ratio=0.1; length=6; case_mode="upper"; regular_expr="^[A-Z0-9]{6}$"</t>
  </si>
  <si>
    <t>SABSCODE</t>
  </si>
  <si>
    <t>allowed_values=["SFAProd"]</t>
  </si>
  <si>
    <t>SPINSFA</t>
  </si>
  <si>
    <t>regular_expr="^ABR-FW-SCRMFW-WORK-ACCOUNT ACB-[0-9]{1,20}$"</t>
  </si>
  <si>
    <t>IDSUBJECT</t>
  </si>
  <si>
    <t>min_value=1; max_value=20000000</t>
  </si>
  <si>
    <t>l_synthetic_data.analytics_db__company_groups</t>
  </si>
  <si>
    <t>l_synthetic_data.analytics_db__subjects</t>
  </si>
  <si>
    <t>SELECT
    cg.GROUP_ID_DM,
    cg.MAIN_COMPANY_FLG_DM,
    COUNT(s.IDSUBJECT) AS subject_count,
    COUNT(s.SOGRN) AS with_ogrn_count
FROM l_synthetic_data.analytics_db__company_groups cg
JOIN l_synthetic_data.analytics_db__subjects s ON cg.INN = s.SINN
GROUP BY cg.GROUP_ID_DM, cg.MAIN_COMPANY_FLG_DM</t>
  </si>
  <si>
    <t>SELECT
    cg.GROUP_ID_DM,
    cg.MAIN_COMPANY_FLG_DM,
    COUNT(s.IDSUBJECT) AS subject_count,
    COUNT(s.SOGRN) AS with_ogrn_count
FROM synth_data.analytics_db__company_groups cg
JOIN synth_data.analytics_db__subjects s ON cg.INN = s.SINN
GROUP BY cg.GROUP_ID_DM, cg.MAIN_COMPANY_FLG_DM</t>
  </si>
  <si>
    <t>synth_data.analytics_db__company_groups</t>
  </si>
  <si>
    <t>synth_data.analytics_db__subjects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</si>
</sst>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4"/>
      <color rgb="FFFFFFFF"/>
      <name val="Calibri"/>
    </font>
    <font>
      <b/>
      <sz val="11"/>
      <color rgb="FF1F1F1F"/>
      <name val="Calibri"/>
    </font>
    <font>
      <sz val="11"/>
      <color rgb="FF1F1F1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sz val="11"/>
      <color rgb="FF385723"/>
      <name val="Calibri"/>
    </font>
  </fonts>
  <fills count="7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DCE6F1"/>
      </patternFill>
    </fill>
    <fill>
      <patternFill patternType="solid">
        <fgColor rgb="FF00B050"/>
      </patternFill>
    </fill>
    <fill>
      <patternFill patternType="solid">
        <fgColor rgb="FFF3FBF1"/>
      </patternFill>
    </fill>
    <fill>
      <patternFill patternType="solid">
        <fgColor rgb="FFE2F0D9"/>
      </patternFill>
    </fill>
  </fills>
  <borders count="10">
    <border>
      <left/>
      <right/>
      <top/>
      <bottom/>
      <diagonal/>
    </border>
    <border>
      <left style="thin">
        <color rgb="FFC9C9C9"/>
      </left>
      <right style="thin">
        <color rgb="FFC9C9C9"/>
      </right>
      <top style="thin">
        <color rgb="FFC9C9C9"/>
      </top>
      <bottom style="thin">
        <color rgb="FFC9C9C9"/>
      </bottom>
      <diagonal/>
    </border>
    <border>
      <left style="thin">
        <color rgb="FFD9EAD3"/>
      </left>
      <right style="thin">
        <color rgb="FFD9EAD3"/>
      </right>
      <top style="thin">
        <color rgb="FFD9EAD3"/>
      </top>
      <bottom style="thin">
        <color rgb="FFD9EAD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D9EAD3"/>
      </right>
      <top style="thin">
        <color rgb="FFD9EAD3"/>
      </top>
      <bottom style="thin">
        <color rgb="FFD9EAD3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2" borderId="1" xfId="0" applyFill="1" applyBorder="1" applyAlignment="1">
      <alignment vertical="top" wrapText="1"/>
    </xf>
    <xf numFmtId="0" fontId="1" fillId="3" borderId="1" xfId="0" applyFont="1" applyFill="1" applyBorder="1" applyAlignment="1">
      <alignment vertical="top" wrapText="1"/>
    </xf>
    <xf numFmtId="0" fontId="3" fillId="5" borderId="2" xfId="0" applyFont="1" applyFill="1" applyBorder="1" applyAlignment="1">
      <alignment vertical="top" wrapText="1"/>
    </xf>
    <xf numFmtId="0" fontId="4" fillId="6" borderId="2" xfId="0" applyFont="1" applyFill="1" applyBorder="1" applyAlignment="1">
      <alignment vertical="top" wrapText="1"/>
    </xf>
    <xf numFmtId="0" fontId="5" fillId="4" borderId="2" xfId="0" applyFont="1" applyFill="1" applyBorder="1" applyAlignment="1">
      <alignment vertical="top" wrapText="1"/>
    </xf>
    <xf numFmtId="0" fontId="0" fillId="0" borderId="0" xfId="0"/>
    <xf numFmtId="0" fontId="7" fillId="6" borderId="3" xfId="0" applyFont="1" applyFill="1" applyBorder="1" applyAlignment="1">
      <alignment vertical="top" wrapText="1"/>
    </xf>
    <xf numFmtId="0" fontId="0" fillId="2" borderId="5" xfId="0" applyFill="1" applyBorder="1" applyAlignment="1">
      <alignment vertical="top" wrapText="1"/>
    </xf>
    <xf numFmtId="0" fontId="7" fillId="6" borderId="6" xfId="0" applyFont="1" applyFill="1" applyBorder="1" applyAlignment="1">
      <alignment vertical="top" wrapText="1"/>
    </xf>
    <xf numFmtId="0" fontId="1" fillId="3" borderId="7" xfId="0" applyFont="1" applyFill="1" applyBorder="1" applyAlignment="1">
      <alignment vertical="top" wrapText="1"/>
    </xf>
    <xf numFmtId="0" fontId="6" fillId="4" borderId="8" xfId="0" applyFont="1" applyFill="1" applyBorder="1" applyAlignment="1">
      <alignment horizontal="center" vertical="center" wrapText="1"/>
    </xf>
    <xf numFmtId="0" fontId="6" fillId="4" borderId="9" xfId="0" applyFont="1" applyFill="1" applyBorder="1" applyAlignment="1">
      <alignment horizontal="center" vertical="center" wrapText="1"/>
    </xf>
    <xf numFmtId="0" fontId="0" fillId="0" borderId="0" xfId="0" applyAlignment="1">
      <alignment vertical="top" wrapText="1"/>
    </xf>
    <xf numFmtId="0" fontId="2" fillId="4" borderId="2" xfId="0" applyFont="1" applyFill="1" applyBorder="1" applyAlignment="1">
      <alignment horizontal="center" vertical="center" wrapText="1"/>
    </xf>
    <xf numFmtId="0" fontId="0" fillId="0" borderId="4" xfId="0" applyBorder="1"/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1"/>
  <sheetViews>
    <sheetView workbookViewId="0"/>
  </sheetViews>
  <sheetFormatPr defaultRowHeight="14.25" x14ac:dyDescent="0.45"/>
  <cols>
    <col min="1" max="1" width="28" style="6" customWidth="1"/>
    <col min="2" max="2" width="115" style="6" customWidth="1"/>
  </cols>
  <sheetData>
    <row r="1" spans="1:2" ht="30" customHeight="1" x14ac:dyDescent="0.45">
      <c r="A1" s="14" t="s">
        <v>0</v>
      </c>
      <c r="B1" s="15"/>
    </row>
    <row r="2" spans="1:2" ht="8" customHeight="1" x14ac:dyDescent="0.45"/>
    <row r="3" spans="1:2" ht="44" customHeight="1" x14ac:dyDescent="0.45">
      <c r="A3" s="3" t="s">
        <v>1</v>
      </c>
      <c r="B3" s="4" t="s">
        <v>2</v>
      </c>
    </row>
    <row r="4" spans="1:2" ht="26" customHeight="1" x14ac:dyDescent="0.45">
      <c r="A4" s="3" t="s">
        <v>3</v>
      </c>
      <c r="B4" s="4" t="s">
        <v>4</v>
      </c>
    </row>
    <row r="5" spans="1:2" ht="44" customHeight="1" x14ac:dyDescent="0.45">
      <c r="A5" s="3" t="s">
        <v>5</v>
      </c>
      <c r="B5" s="4" t="s">
        <v>6</v>
      </c>
    </row>
    <row r="6" spans="1:2" ht="44" customHeight="1" x14ac:dyDescent="0.45">
      <c r="A6" s="3" t="s">
        <v>7</v>
      </c>
      <c r="B6" s="4" t="s">
        <v>8</v>
      </c>
    </row>
    <row r="7" spans="1:2" ht="44" customHeight="1" x14ac:dyDescent="0.45">
      <c r="A7" s="3" t="s">
        <v>9</v>
      </c>
      <c r="B7" s="4" t="s">
        <v>10</v>
      </c>
    </row>
    <row r="8" spans="1:2" ht="44" customHeight="1" x14ac:dyDescent="0.45">
      <c r="A8" s="3" t="s">
        <v>11</v>
      </c>
      <c r="B8" s="4" t="s">
        <v>12</v>
      </c>
    </row>
    <row r="9" spans="1:2" ht="44" customHeight="1" x14ac:dyDescent="0.45">
      <c r="A9" s="3" t="s">
        <v>13</v>
      </c>
      <c r="B9" s="4" t="s">
        <v>14</v>
      </c>
    </row>
    <row r="10" spans="1:2" ht="44" customHeight="1" x14ac:dyDescent="0.45">
      <c r="A10" s="3" t="s">
        <v>15</v>
      </c>
      <c r="B10" s="4" t="s">
        <v>16</v>
      </c>
    </row>
    <row r="11" spans="1:2" ht="44" customHeight="1" x14ac:dyDescent="0.45">
      <c r="A11" s="3" t="s">
        <v>17</v>
      </c>
      <c r="B11" s="4" t="s">
        <v>18</v>
      </c>
    </row>
    <row r="12" spans="1:2" ht="44" customHeight="1" x14ac:dyDescent="0.45">
      <c r="A12" s="3" t="s">
        <v>19</v>
      </c>
      <c r="B12" s="4" t="s">
        <v>20</v>
      </c>
    </row>
    <row r="13" spans="1:2" ht="44" customHeight="1" x14ac:dyDescent="0.45">
      <c r="A13" s="3" t="s">
        <v>21</v>
      </c>
      <c r="B13" s="4" t="s">
        <v>22</v>
      </c>
    </row>
    <row r="14" spans="1:2" ht="44" customHeight="1" x14ac:dyDescent="0.45">
      <c r="A14" s="3" t="s">
        <v>23</v>
      </c>
      <c r="B14" s="4" t="s">
        <v>24</v>
      </c>
    </row>
    <row r="15" spans="1:2" ht="8" customHeight="1" x14ac:dyDescent="0.45"/>
    <row r="16" spans="1:2" ht="24" customHeight="1" x14ac:dyDescent="0.45">
      <c r="A16" s="5" t="s">
        <v>25</v>
      </c>
      <c r="B16" s="5"/>
    </row>
    <row r="17" spans="1:2" ht="44" customHeight="1" x14ac:dyDescent="0.45">
      <c r="A17" s="3" t="s">
        <v>26</v>
      </c>
      <c r="B17" s="4" t="s">
        <v>27</v>
      </c>
    </row>
    <row r="18" spans="1:2" ht="26" customHeight="1" x14ac:dyDescent="0.45">
      <c r="A18" s="3" t="s">
        <v>28</v>
      </c>
      <c r="B18" s="4" t="s">
        <v>29</v>
      </c>
    </row>
    <row r="19" spans="1:2" ht="26" customHeight="1" x14ac:dyDescent="0.45">
      <c r="A19" s="3" t="s">
        <v>30</v>
      </c>
      <c r="B19" s="4" t="s">
        <v>31</v>
      </c>
    </row>
    <row r="20" spans="1:2" ht="26" customHeight="1" x14ac:dyDescent="0.45">
      <c r="A20" s="3" t="s">
        <v>32</v>
      </c>
      <c r="B20" s="4" t="s">
        <v>33</v>
      </c>
    </row>
    <row r="21" spans="1:2" ht="44" customHeight="1" x14ac:dyDescent="0.45">
      <c r="A21" s="3" t="s">
        <v>34</v>
      </c>
      <c r="B21" s="4" t="s">
        <v>35</v>
      </c>
    </row>
    <row r="22" spans="1:2" ht="44" customHeight="1" x14ac:dyDescent="0.45">
      <c r="A22" s="3" t="s">
        <v>36</v>
      </c>
      <c r="B22" s="4" t="s">
        <v>37</v>
      </c>
    </row>
    <row r="23" spans="1:2" ht="44" customHeight="1" x14ac:dyDescent="0.45">
      <c r="A23" s="3" t="s">
        <v>38</v>
      </c>
      <c r="B23" s="4" t="s">
        <v>38</v>
      </c>
    </row>
    <row r="24" spans="1:2" ht="8" customHeight="1" x14ac:dyDescent="0.45"/>
    <row r="25" spans="1:2" ht="24" customHeight="1" x14ac:dyDescent="0.45">
      <c r="A25" s="5" t="s">
        <v>39</v>
      </c>
      <c r="B25" s="5"/>
    </row>
    <row r="26" spans="1:2" ht="26" customHeight="1" x14ac:dyDescent="0.45">
      <c r="A26" s="3" t="s">
        <v>40</v>
      </c>
      <c r="B26" s="4" t="s">
        <v>41</v>
      </c>
    </row>
    <row r="27" spans="1:2" ht="44" customHeight="1" x14ac:dyDescent="0.45">
      <c r="A27" s="3" t="s">
        <v>42</v>
      </c>
      <c r="B27" s="4" t="s">
        <v>43</v>
      </c>
    </row>
    <row r="28" spans="1:2" ht="26" customHeight="1" x14ac:dyDescent="0.45">
      <c r="A28" s="3" t="s">
        <v>44</v>
      </c>
      <c r="B28" s="4" t="s">
        <v>45</v>
      </c>
    </row>
    <row r="29" spans="1:2" ht="44" customHeight="1" x14ac:dyDescent="0.45">
      <c r="A29" s="3" t="s">
        <v>46</v>
      </c>
      <c r="B29" s="4" t="s">
        <v>47</v>
      </c>
    </row>
    <row r="30" spans="1:2" ht="44" customHeight="1" x14ac:dyDescent="0.45">
      <c r="A30" s="3" t="s">
        <v>48</v>
      </c>
      <c r="B30" s="4" t="s">
        <v>49</v>
      </c>
    </row>
    <row r="31" spans="1:2" ht="44" customHeight="1" x14ac:dyDescent="0.45">
      <c r="A31" s="3" t="s">
        <v>50</v>
      </c>
      <c r="B31" s="4" t="s">
        <v>51</v>
      </c>
    </row>
    <row r="32" spans="1:2" ht="26" customHeight="1" x14ac:dyDescent="0.45">
      <c r="A32" s="3" t="s">
        <v>52</v>
      </c>
      <c r="B32" s="4" t="s">
        <v>53</v>
      </c>
    </row>
    <row r="33" spans="1:2" ht="44" customHeight="1" x14ac:dyDescent="0.45">
      <c r="A33" s="3" t="s">
        <v>54</v>
      </c>
      <c r="B33" s="4" t="s">
        <v>55</v>
      </c>
    </row>
    <row r="34" spans="1:2" ht="8" customHeight="1" x14ac:dyDescent="0.45"/>
    <row r="35" spans="1:2" ht="24" customHeight="1" x14ac:dyDescent="0.45">
      <c r="A35" s="5" t="s">
        <v>56</v>
      </c>
      <c r="B35" s="5"/>
    </row>
    <row r="36" spans="1:2" ht="26" customHeight="1" x14ac:dyDescent="0.45">
      <c r="A36" s="3" t="s">
        <v>57</v>
      </c>
      <c r="B36" s="4" t="s">
        <v>58</v>
      </c>
    </row>
    <row r="37" spans="1:2" ht="26" customHeight="1" x14ac:dyDescent="0.45">
      <c r="A37" s="3" t="s">
        <v>59</v>
      </c>
      <c r="B37" s="4" t="s">
        <v>60</v>
      </c>
    </row>
    <row r="38" spans="1:2" ht="44" customHeight="1" x14ac:dyDescent="0.45">
      <c r="A38" s="3" t="s">
        <v>61</v>
      </c>
      <c r="B38" s="4" t="s">
        <v>62</v>
      </c>
    </row>
    <row r="39" spans="1:2" ht="44" customHeight="1" x14ac:dyDescent="0.45">
      <c r="A39" s="3" t="s">
        <v>63</v>
      </c>
      <c r="B39" s="4" t="s">
        <v>64</v>
      </c>
    </row>
    <row r="40" spans="1:2" ht="8" customHeight="1" x14ac:dyDescent="0.45"/>
    <row r="41" spans="1:2" ht="24" customHeight="1" x14ac:dyDescent="0.45">
      <c r="A41" s="5" t="s">
        <v>65</v>
      </c>
      <c r="B41" s="5"/>
    </row>
    <row r="42" spans="1:2" ht="26" customHeight="1" x14ac:dyDescent="0.45">
      <c r="A42" s="3" t="s">
        <v>66</v>
      </c>
      <c r="B42" s="4" t="s">
        <v>67</v>
      </c>
    </row>
    <row r="43" spans="1:2" ht="44" customHeight="1" x14ac:dyDescent="0.45">
      <c r="A43" s="3" t="s">
        <v>68</v>
      </c>
      <c r="B43" s="4" t="s">
        <v>69</v>
      </c>
    </row>
    <row r="44" spans="1:2" ht="44" customHeight="1" x14ac:dyDescent="0.45">
      <c r="A44" s="3" t="s">
        <v>70</v>
      </c>
      <c r="B44" s="4" t="s">
        <v>71</v>
      </c>
    </row>
    <row r="45" spans="1:2" ht="44" customHeight="1" x14ac:dyDescent="0.45">
      <c r="A45" s="3" t="s">
        <v>72</v>
      </c>
      <c r="B45" s="4" t="s">
        <v>73</v>
      </c>
    </row>
    <row r="46" spans="1:2" ht="10.050000000000001" customHeight="1" x14ac:dyDescent="0.45"/>
    <row r="47" spans="1:2" ht="24" customHeight="1" x14ac:dyDescent="0.45"/>
    <row r="48" spans="1:2" ht="22.05" customHeight="1" x14ac:dyDescent="0.45"/>
    <row r="49" ht="10.050000000000001" customHeight="1" x14ac:dyDescent="0.45"/>
    <row r="50" ht="24" customHeight="1" x14ac:dyDescent="0.45"/>
    <row r="51" ht="30" customHeight="1" x14ac:dyDescent="0.45"/>
    <row r="52" ht="36" customHeight="1" x14ac:dyDescent="0.45"/>
    <row r="53" ht="22.05" customHeight="1" x14ac:dyDescent="0.45"/>
    <row r="54" ht="10.050000000000001" customHeight="1" x14ac:dyDescent="0.45"/>
    <row r="55" ht="24" customHeight="1" x14ac:dyDescent="0.45"/>
    <row r="56" ht="22.05" customHeight="1" x14ac:dyDescent="0.45"/>
    <row r="57" ht="22.05" customHeight="1" x14ac:dyDescent="0.45"/>
    <row r="58" ht="22.05" customHeight="1" x14ac:dyDescent="0.45"/>
    <row r="59" ht="22.05" customHeight="1" x14ac:dyDescent="0.45"/>
    <row r="60" ht="22.05" customHeight="1" x14ac:dyDescent="0.45"/>
    <row r="61" ht="22.05" customHeight="1" x14ac:dyDescent="0.45"/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7"/>
  <sheetViews>
    <sheetView workbookViewId="0">
      <pane ySplit="1" topLeftCell="A2" activePane="bottomLeft" state="frozen"/>
      <selection pane="bottomLeft" activeCell="B2" sqref="B2"/>
    </sheetView>
  </sheetViews>
  <sheetFormatPr defaultRowHeight="14.25" x14ac:dyDescent="0.45"/>
  <cols>
    <col min="1" max="1" width="14" style="6" customWidth="1"/>
    <col min="2" max="2" width="60" style="6" customWidth="1"/>
    <col min="8" max="8" width="10" style="6" customWidth="1"/>
    <col min="10" max="11" width="30" style="6" customWidth="1"/>
    <col min="12" max="12" width="24" style="6" customWidth="1"/>
    <col min="13" max="13" width="16" style="6" customWidth="1"/>
    <col min="14" max="14" width="20" style="6" customWidth="1"/>
  </cols>
  <sheetData>
    <row r="1" spans="1:14" x14ac:dyDescent="0.45">
      <c r="A1" s="13" t="s">
        <v>74</v>
      </c>
      <c r="B1" s="13" t="s">
        <v>75</v>
      </c>
      <c r="H1" s="13" t="s">
        <v>76</v>
      </c>
      <c r="J1" s="13" t="s">
        <v>77</v>
      </c>
      <c r="K1" s="13" t="s">
        <v>78</v>
      </c>
      <c r="L1" s="13" t="s">
        <v>79</v>
      </c>
      <c r="M1" s="13" t="s">
        <v>80</v>
      </c>
      <c r="N1" s="13" t="s">
        <v>81</v>
      </c>
    </row>
    <row r="2" spans="1:14" ht="114" customHeight="1" x14ac:dyDescent="0.45">
      <c r="A2" s="13" t="s">
        <v>82</v>
      </c>
      <c r="B2" s="13" t="s">
        <v>83</v>
      </c>
      <c r="H2" s="13" t="s">
        <v>84</v>
      </c>
      <c r="J2" s="13" t="s">
        <v>85</v>
      </c>
      <c r="K2" s="13" t="s">
        <v>86</v>
      </c>
      <c r="L2" s="13" t="s">
        <v>87</v>
      </c>
      <c r="M2" s="13" t="s">
        <v>88</v>
      </c>
      <c r="N2" s="13" t="s">
        <v>89</v>
      </c>
    </row>
    <row r="3" spans="1:14" ht="85.5" customHeight="1" x14ac:dyDescent="0.45">
      <c r="A3" s="13" t="s">
        <v>90</v>
      </c>
      <c r="B3" s="13" t="s">
        <v>91</v>
      </c>
      <c r="H3" s="13" t="s">
        <v>92</v>
      </c>
      <c r="L3" s="13" t="s">
        <v>93</v>
      </c>
      <c r="M3" s="13" t="s">
        <v>94</v>
      </c>
      <c r="N3" s="13" t="s">
        <v>95</v>
      </c>
    </row>
    <row r="4" spans="1:14" ht="99.75" customHeight="1" x14ac:dyDescent="0.45">
      <c r="A4" s="13" t="s">
        <v>96</v>
      </c>
      <c r="B4" s="13" t="s">
        <v>97</v>
      </c>
      <c r="L4" s="13" t="s">
        <v>98</v>
      </c>
      <c r="M4" s="13" t="s">
        <v>99</v>
      </c>
      <c r="N4" s="13" t="s">
        <v>100</v>
      </c>
    </row>
    <row r="5" spans="1:14" ht="99.75" customHeight="1" x14ac:dyDescent="0.45">
      <c r="A5" s="13" t="s">
        <v>101</v>
      </c>
      <c r="B5" s="13" t="s">
        <v>102</v>
      </c>
      <c r="L5" s="13"/>
      <c r="N5" s="13"/>
    </row>
    <row r="6" spans="1:14" ht="99.75" customHeight="1" x14ac:dyDescent="0.45">
      <c r="A6" s="13" t="s">
        <v>103</v>
      </c>
      <c r="B6" s="13" t="s">
        <v>104</v>
      </c>
    </row>
    <row r="7" spans="1:14" ht="57" customHeight="1" x14ac:dyDescent="0.45">
      <c r="A7" s="13" t="s">
        <v>105</v>
      </c>
      <c r="B7" s="13" t="s">
        <v>106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6"/>
  <sheetViews>
    <sheetView tabSelected="1" workbookViewId="0">
      <pane ySplit="1" topLeftCell="A2" activePane="bottomLeft" state="frozen"/>
      <selection pane="bottomLeft" activeCell="E3" sqref="E3"/>
    </sheetView>
  </sheetViews>
  <sheetFormatPr defaultRowHeight="14.25" x14ac:dyDescent="0.45"/>
  <cols>
    <col min="1" max="1" width="24" style="6" customWidth="1"/>
    <col min="2" max="2" width="14" style="6" customWidth="1"/>
    <col min="3" max="4" width="42" style="6" customWidth="1"/>
    <col min="5" max="7" width="24" style="6" customWidth="1"/>
    <col min="8" max="8" width="26" style="6" customWidth="1"/>
  </cols>
  <sheetData>
    <row r="1" spans="1:5" ht="26" customHeight="1" x14ac:dyDescent="0.45">
      <c r="A1" s="2" t="s">
        <v>26</v>
      </c>
      <c r="B1" s="2" t="s">
        <v>28</v>
      </c>
      <c r="C1" s="2" t="s">
        <v>30</v>
      </c>
      <c r="D1" s="2" t="s">
        <v>32</v>
      </c>
      <c r="E1" s="2" t="s">
        <v>34</v>
      </c>
    </row>
    <row r="2" spans="1:5" ht="22.05" customHeight="1" x14ac:dyDescent="0.45">
      <c r="A2" s="1" t="s">
        <v>107</v>
      </c>
      <c r="B2" s="1">
        <v>5000</v>
      </c>
      <c r="C2" s="1" t="s">
        <v>137</v>
      </c>
      <c r="D2" s="1" t="s">
        <v>141</v>
      </c>
      <c r="E2" s="1" t="s">
        <v>93</v>
      </c>
    </row>
    <row r="3" spans="1:5" ht="22.05" customHeight="1" x14ac:dyDescent="0.45">
      <c r="A3" s="1" t="s">
        <v>108</v>
      </c>
      <c r="B3" s="1">
        <v>10000</v>
      </c>
      <c r="C3" s="1" t="s">
        <v>138</v>
      </c>
      <c r="D3" s="1" t="s">
        <v>142</v>
      </c>
      <c r="E3" s="1" t="s">
        <v>87</v>
      </c>
    </row>
    <row r="6" spans="1:5" ht="24" customHeight="1" x14ac:dyDescent="0.45"/>
  </sheetData>
  <autoFilter ref="A1:G200" xr:uid="{00000000-0009-0000-0000-000002000000}"/>
  <dataValidations count="1">
    <dataValidation type="list" sqref="E2:E200" xr:uid="{00000000-0002-0000-0200-000000000000}">
      <formula1>"OVERWRITE_TABLE,OVERWRITE_PARTITIONS,APPEND"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2"/>
  <sheetViews>
    <sheetView workbookViewId="0">
      <pane ySplit="1" topLeftCell="A2" activePane="bottomLeft" state="frozen"/>
      <selection pane="bottomLeft" activeCell="B2" sqref="B2"/>
    </sheetView>
  </sheetViews>
  <sheetFormatPr defaultRowHeight="14.25" x14ac:dyDescent="0.45"/>
  <cols>
    <col min="1" max="2" width="80" style="6" customWidth="1"/>
    <col min="3" max="4" width="30" style="6" customWidth="1"/>
  </cols>
  <sheetData>
    <row r="1" spans="1:4" ht="26" customHeight="1" x14ac:dyDescent="0.45">
      <c r="A1" s="2" t="s">
        <v>57</v>
      </c>
      <c r="B1" s="2" t="s">
        <v>59</v>
      </c>
      <c r="C1" s="2" t="s">
        <v>61</v>
      </c>
      <c r="D1" s="2" t="s">
        <v>63</v>
      </c>
    </row>
    <row r="2" spans="1:4" ht="114" x14ac:dyDescent="0.45">
      <c r="A2" s="1" t="s">
        <v>139</v>
      </c>
      <c r="B2" s="1" t="s">
        <v>140</v>
      </c>
      <c r="C2" s="1" t="s">
        <v>109</v>
      </c>
      <c r="D2" s="1" t="s">
        <v>109</v>
      </c>
    </row>
  </sheetData>
  <autoFilter ref="A1:D20" xr:uid="{00000000-0009-0000-0000-000003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6"/>
  <sheetViews>
    <sheetView workbookViewId="0">
      <pane ySplit="1" topLeftCell="A2" activePane="bottomLeft" state="frozen"/>
      <selection pane="bottomLeft" activeCell="A2" sqref="A2"/>
    </sheetView>
  </sheetViews>
  <sheetFormatPr defaultRowHeight="14.25" x14ac:dyDescent="0.45"/>
  <cols>
    <col min="1" max="1" width="20" style="6" customWidth="1"/>
    <col min="2" max="2" width="16" style="6" customWidth="1"/>
    <col min="3" max="3" width="18" style="6" customWidth="1"/>
    <col min="4" max="4" width="14" style="6" customWidth="1"/>
    <col min="5" max="5" width="48" style="6" customWidth="1"/>
    <col min="6" max="6" width="38" style="6" customWidth="1"/>
    <col min="7" max="7" width="16" style="6" customWidth="1"/>
    <col min="8" max="8" width="36" style="6" customWidth="1"/>
    <col min="9" max="9" width="58" style="6" customWidth="1"/>
    <col min="10" max="11" width="34" style="6" customWidth="1"/>
  </cols>
  <sheetData>
    <row r="1" spans="1:11" ht="30" customHeight="1" x14ac:dyDescent="0.45">
      <c r="A1" s="10" t="s">
        <v>40</v>
      </c>
      <c r="B1" s="10" t="s">
        <v>42</v>
      </c>
      <c r="C1" s="10" t="s">
        <v>44</v>
      </c>
      <c r="D1" s="10" t="s">
        <v>46</v>
      </c>
      <c r="E1" s="10" t="s">
        <v>48</v>
      </c>
      <c r="F1" s="10" t="s">
        <v>50</v>
      </c>
      <c r="G1" s="10" t="s">
        <v>52</v>
      </c>
      <c r="H1" s="10" t="s">
        <v>54</v>
      </c>
      <c r="I1" s="11" t="s">
        <v>110</v>
      </c>
      <c r="J1" s="11" t="s">
        <v>111</v>
      </c>
      <c r="K1" s="12" t="s">
        <v>112</v>
      </c>
    </row>
    <row r="2" spans="1:11" ht="28.05" customHeight="1" x14ac:dyDescent="0.45">
      <c r="A2" s="8" t="s">
        <v>113</v>
      </c>
      <c r="B2" s="8" t="s">
        <v>90</v>
      </c>
      <c r="C2" s="8" t="s">
        <v>90</v>
      </c>
      <c r="D2" s="8" t="b">
        <v>1</v>
      </c>
      <c r="E2" s="8" t="s">
        <v>114</v>
      </c>
      <c r="F2" s="8"/>
      <c r="G2" s="8" t="s">
        <v>88</v>
      </c>
      <c r="H2" s="8"/>
      <c r="I2" s="7" t="str">
        <f>IF($F2&lt;&gt;"","Для foreign_key допустим только null_ratio=0..1. gen_data_type и output_data_type выводятся из parent column.",IF($H2&lt;&gt;"","Для derive укажите output_data_type и engine_scope; доступные rule: YYYYMMDD|YYYY|MM; gen_data_type/constraints/foreign_key оставьте пустыми.",IFERROR(VLOOKUP($B2,'Constant List'!$A$2:$B$7,2,FALSE),"Тип генерации не заполнен")))</f>
        <v>Формат constraints:
null_ratio=0..1;
is_unique=true/false;
allowed_values=[1, 2, 3];
min_value=0;
max_value=1000</v>
      </c>
      <c r="J2" s="7" t="str">
        <f>'Constant List'!$J$2</f>
        <v>table_name="company_groups";
column_name="INN";
relation_type="ONE_TO_MANY|ONE_TO_ONE"</v>
      </c>
      <c r="K2" s="9" t="str">
        <f>'Constant List'!$K$2</f>
        <v>source_column="VALUE_DAY";
rule="YYYYMMDD|YYYY|MM"</v>
      </c>
    </row>
    <row r="3" spans="1:11" ht="46.05" customHeight="1" x14ac:dyDescent="0.45">
      <c r="A3" s="8" t="s">
        <v>115</v>
      </c>
      <c r="B3" s="8" t="s">
        <v>90</v>
      </c>
      <c r="C3" s="8" t="s">
        <v>90</v>
      </c>
      <c r="D3" s="8"/>
      <c r="E3" s="8" t="s">
        <v>116</v>
      </c>
      <c r="F3" s="8"/>
      <c r="G3" s="8" t="s">
        <v>88</v>
      </c>
      <c r="H3" s="8"/>
      <c r="I3" s="7" t="str">
        <f>IF($F3&lt;&gt;"","Для foreign_key допустим только null_ratio=0..1. gen_data_type и output_data_type выводятся из parent column.",IF($H3&lt;&gt;"","Для derive укажите output_data_type и engine_scope; доступные rule: YYYYMMDD|YYYY|MM; gen_data_type/constraints/foreign_key оставьте пустыми.",IFERROR(VLOOKUP($B3,'Constant List'!$A$2:$B$7,2,FALSE),"Тип генерации не заполнен")))</f>
        <v>Формат constraints:
null_ratio=0..1;
is_unique=true/false;
allowed_values=[1, 2, 3];
min_value=0;
max_value=1000</v>
      </c>
      <c r="J3" s="7" t="str">
        <f>'Constant List'!$J$2</f>
        <v>table_name="company_groups";
column_name="INN";
relation_type="ONE_TO_MANY|ONE_TO_ONE"</v>
      </c>
      <c r="K3" s="9" t="str">
        <f>'Constant List'!$K$2</f>
        <v>source_column="VALUE_DAY";
rule="YYYYMMDD|YYYY|MM"</v>
      </c>
    </row>
    <row r="4" spans="1:11" ht="28.05" customHeight="1" x14ac:dyDescent="0.45">
      <c r="A4" s="8" t="s">
        <v>117</v>
      </c>
      <c r="B4" s="8" t="s">
        <v>90</v>
      </c>
      <c r="C4" s="8" t="s">
        <v>90</v>
      </c>
      <c r="D4" s="8"/>
      <c r="E4" s="8" t="s">
        <v>118</v>
      </c>
      <c r="F4" s="8"/>
      <c r="G4" s="8" t="s">
        <v>88</v>
      </c>
      <c r="H4" s="8"/>
      <c r="I4" s="7" t="str">
        <f>IF($F4&lt;&gt;"","Для foreign_key допустим только null_ratio=0..1. gen_data_type и output_data_type выводятся из parent column.",IF($H4&lt;&gt;"","Для derive укажите output_data_type и engine_scope; доступные rule: YYYYMMDD|YYYY|MM; gen_data_type/constraints/foreign_key оставьте пустыми.",IFERROR(VLOOKUP($B4,'Constant List'!$A$2:$B$7,2,FALSE),"Тип генерации не заполнен")))</f>
        <v>Формат constraints:
null_ratio=0..1;
is_unique=true/false;
allowed_values=[1, 2, 3];
min_value=0;
max_value=1000</v>
      </c>
      <c r="J4" s="7" t="str">
        <f>'Constant List'!$J$2</f>
        <v>table_name="company_groups";
column_name="INN";
relation_type="ONE_TO_MANY|ONE_TO_ONE"</v>
      </c>
      <c r="K4" s="9" t="str">
        <f>'Constant List'!$K$2</f>
        <v>source_column="VALUE_DAY";
rule="YYYYMMDD|YYYY|MM"</v>
      </c>
    </row>
    <row r="5" spans="1:11" ht="46.05" customHeight="1" x14ac:dyDescent="0.45">
      <c r="A5" s="8" t="s">
        <v>119</v>
      </c>
      <c r="B5" s="8" t="s">
        <v>101</v>
      </c>
      <c r="C5" s="8" t="s">
        <v>101</v>
      </c>
      <c r="D5" s="8"/>
      <c r="E5" s="8" t="s">
        <v>120</v>
      </c>
      <c r="F5" s="8"/>
      <c r="G5" s="8" t="s">
        <v>88</v>
      </c>
      <c r="H5" s="8"/>
      <c r="I5" s="7" t="str">
        <f>IF($F5&lt;&gt;"","Для foreign_key допустим только null_ratio=0..1. gen_data_type и output_data_type выводятся из parent column.",IF($H5&lt;&gt;"","Для derive укажите output_data_type и engine_scope; доступные rule: YYYYMMDD|YYYY|MM; gen_data_type/constraints/foreign_key оставьте пустыми.",IFERROR(VLOOKUP($B5,'Constant List'!$A$2:$B$7,2,FALSE),"Тип генерации не заполнен")))</f>
        <v>Формат constraints:
null_ratio=0..1;
is_unique=true/false;
allowed_values=["2024-01-01", "2024-01-02"];
min_value="2024-01-01";
max_value="2024-12-31";
date_format="%Y-%m-%d"</v>
      </c>
      <c r="J5" s="7" t="str">
        <f>'Constant List'!$J$2</f>
        <v>table_name="company_groups";
column_name="INN";
relation_type="ONE_TO_MANY|ONE_TO_ONE"</v>
      </c>
      <c r="K5" s="9" t="str">
        <f>'Constant List'!$K$2</f>
        <v>source_column="VALUE_DAY";
rule="YYYYMMDD|YYYY|MM"</v>
      </c>
    </row>
    <row r="6" spans="1:11" ht="28.05" customHeight="1" x14ac:dyDescent="0.45">
      <c r="A6" s="8" t="s">
        <v>121</v>
      </c>
      <c r="B6" s="8"/>
      <c r="C6" s="8" t="s">
        <v>90</v>
      </c>
      <c r="D6" s="8"/>
      <c r="E6" s="8"/>
      <c r="F6" s="8"/>
      <c r="G6" s="8" t="s">
        <v>94</v>
      </c>
      <c r="H6" s="8" t="s">
        <v>122</v>
      </c>
      <c r="I6" s="7" t="str">
        <f>IF($F6&lt;&gt;"","Для foreign_key допустим только null_ratio=0..1. gen_data_type и output_data_type выводятся из parent column.",IF($H6&lt;&gt;"","Для derive укажите output_data_type и engine_scope; доступные rule: YYYYMMDD|YYYY|MM; gen_data_type/constraints/foreign_key оставьте пустыми.",IFERROR(VLOOKUP($B6,'Constant List'!$A$2:$B$7,2,FALSE),"Тип генерации не заполнен")))</f>
        <v>Для derive укажите output_data_type и engine_scope; доступные rule: YYYYMMDD|YYYY|MM; gen_data_type/constraints/foreign_key оставьте пустыми.</v>
      </c>
      <c r="J6" s="7" t="str">
        <f>'Constant List'!$J$2</f>
        <v>table_name="company_groups";
column_name="INN";
relation_type="ONE_TO_MANY|ONE_TO_ONE"</v>
      </c>
      <c r="K6" s="9" t="str">
        <f>'Constant List'!$K$2</f>
        <v>source_column="VALUE_DAY";
rule="YYYYMMDD|YYYY|MM"</v>
      </c>
    </row>
  </sheetData>
  <autoFilter ref="A1:K6" xr:uid="{00000000-0009-0000-0000-000004000000}"/>
  <dataValidations count="3">
    <dataValidation type="list" allowBlank="1" sqref="B2:B500 C2:C500" xr:uid="{00000000-0002-0000-0400-000000000000}">
      <formula1>"STRING,INT,FLOAT,DATE,TIMESTAMP,BOOLEAN"</formula1>
    </dataValidation>
    <dataValidation type="list" allowBlank="1" sqref="G2:G500" xr:uid="{00000000-0002-0000-0400-000001000000}">
      <formula1>"ALL,HIVE_ONLY,ICEBERG_ONLY"</formula1>
    </dataValidation>
    <dataValidation type="list" allowBlank="1" sqref="D2:D500" xr:uid="{00000000-0002-0000-0400-000002000000}">
      <formula1>"TRUE,FALSE"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8"/>
  <sheetViews>
    <sheetView workbookViewId="0">
      <pane ySplit="1" topLeftCell="A2" activePane="bottomLeft" state="frozen"/>
      <selection pane="bottomLeft" activeCell="A2" sqref="A2"/>
    </sheetView>
  </sheetViews>
  <sheetFormatPr defaultRowHeight="14.25" x14ac:dyDescent="0.45"/>
  <cols>
    <col min="1" max="1" width="20" style="6" customWidth="1"/>
    <col min="2" max="2" width="16" style="6" customWidth="1"/>
    <col min="3" max="3" width="18" style="6" customWidth="1"/>
    <col min="4" max="4" width="14" style="6" customWidth="1"/>
    <col min="5" max="5" width="48" style="6" customWidth="1"/>
    <col min="6" max="6" width="38" style="6" customWidth="1"/>
    <col min="7" max="7" width="16" style="6" customWidth="1"/>
    <col min="8" max="8" width="36" style="6" bestFit="1" customWidth="1"/>
    <col min="9" max="9" width="58" style="6" customWidth="1"/>
    <col min="10" max="11" width="34" style="6" customWidth="1"/>
  </cols>
  <sheetData>
    <row r="1" spans="1:11" ht="30" customHeight="1" x14ac:dyDescent="0.45">
      <c r="A1" s="10" t="s">
        <v>40</v>
      </c>
      <c r="B1" s="10" t="s">
        <v>42</v>
      </c>
      <c r="C1" s="10" t="s">
        <v>44</v>
      </c>
      <c r="D1" s="10" t="s">
        <v>46</v>
      </c>
      <c r="E1" s="10" t="s">
        <v>48</v>
      </c>
      <c r="F1" s="10" t="s">
        <v>50</v>
      </c>
      <c r="G1" s="10" t="s">
        <v>52</v>
      </c>
      <c r="H1" s="10" t="s">
        <v>54</v>
      </c>
      <c r="I1" s="11" t="s">
        <v>110</v>
      </c>
      <c r="J1" s="11" t="s">
        <v>111</v>
      </c>
      <c r="K1" s="12" t="s">
        <v>112</v>
      </c>
    </row>
    <row r="2" spans="1:11" ht="28.05" customHeight="1" x14ac:dyDescent="0.45">
      <c r="A2" s="8" t="s">
        <v>123</v>
      </c>
      <c r="B2" s="8" t="s">
        <v>82</v>
      </c>
      <c r="C2" s="8" t="s">
        <v>82</v>
      </c>
      <c r="D2" s="8"/>
      <c r="E2" s="8" t="s">
        <v>124</v>
      </c>
      <c r="F2" s="8"/>
      <c r="G2" s="8" t="s">
        <v>88</v>
      </c>
      <c r="H2" s="8"/>
      <c r="I2" s="7" t="str">
        <f>IF($F2&lt;&gt;"","Для foreign_key допустим только null_ratio=0..1. gen_data_type и output_data_type выводятся из parent column.",IF($H2&lt;&gt;"","Для derive укажите output_data_type и engine_scope; доступные rule: YYYYMMDD|YYYY|MM; gen_data_type/constraints/foreign_key оставьте пустыми.",IFERROR(VLOOKUP($B2,'Constant List'!$A$2:$B$7,2,FALSE),"Тип генерации не заполнен")))</f>
        <v>Формат constraints:
null_ratio=0..1;
is_unique=true/false;
allowed_values=["A", "B"];
length=10;
character_set="letters|digits|alphanumeric";
case_mode="mixed|lower|upper";
regular_expr="^[A-Z0-9]{6}$"</v>
      </c>
      <c r="J2" s="7" t="str">
        <f>'Constant List'!$J$2</f>
        <v>table_name="company_groups";
column_name="INN";
relation_type="ONE_TO_MANY|ONE_TO_ONE"</v>
      </c>
      <c r="K2" s="9" t="str">
        <f>'Constant List'!$K$2</f>
        <v>source_column="VALUE_DAY";
rule="YYYYMMDD|YYYY|MM"</v>
      </c>
    </row>
    <row r="3" spans="1:11" ht="46.05" customHeight="1" x14ac:dyDescent="0.45">
      <c r="A3" s="8" t="s">
        <v>125</v>
      </c>
      <c r="B3" s="8"/>
      <c r="C3" s="8"/>
      <c r="D3" s="8"/>
      <c r="E3" s="8"/>
      <c r="F3" s="8" t="s">
        <v>126</v>
      </c>
      <c r="G3" s="8" t="s">
        <v>88</v>
      </c>
      <c r="H3" s="8"/>
      <c r="I3" s="7" t="str">
        <f>IF($F3&lt;&gt;"","Для foreign_key допустим только null_ratio=0..1. gen_data_type и output_data_type выводятся из parent column.",IF($H3&lt;&gt;"","Для derive укажите output_data_type и engine_scope; доступные rule: YYYYMMDD|YYYY|MM; gen_data_type/constraints/foreign_key оставьте пустыми.",IFERROR(VLOOKUP($B3,'Constant List'!$A$2:$B$7,2,FALSE),"Тип генерации не заполнен")))</f>
        <v>Для foreign_key допустим только null_ratio=0..1. gen_data_type и output_data_type выводятся из parent column.</v>
      </c>
      <c r="J3" s="7" t="str">
        <f>'Constant List'!$J$2</f>
        <v>table_name="company_groups";
column_name="INN";
relation_type="ONE_TO_MANY|ONE_TO_ONE"</v>
      </c>
      <c r="K3" s="9" t="str">
        <f>'Constant List'!$K$2</f>
        <v>source_column="VALUE_DAY";
rule="YYYYMMDD|YYYY|MM"</v>
      </c>
    </row>
    <row r="4" spans="1:11" ht="46.05" customHeight="1" x14ac:dyDescent="0.45">
      <c r="A4" s="8" t="s">
        <v>127</v>
      </c>
      <c r="B4" s="8" t="s">
        <v>90</v>
      </c>
      <c r="C4" s="8" t="s">
        <v>90</v>
      </c>
      <c r="D4" s="8"/>
      <c r="E4" s="8" t="s">
        <v>128</v>
      </c>
      <c r="F4" s="8"/>
      <c r="G4" s="8" t="s">
        <v>88</v>
      </c>
      <c r="H4" s="8"/>
      <c r="I4" s="7" t="str">
        <f>IF($F4&lt;&gt;"","Для foreign_key допустим только null_ratio=0..1. gen_data_type и output_data_type выводятся из parent column.",IF($H4&lt;&gt;"","Для derive укажите output_data_type и engine_scope; доступные rule: YYYYMMDD|YYYY|MM; gen_data_type/constraints/foreign_key оставьте пустыми.",IFERROR(VLOOKUP($B4,'Constant List'!$A$2:$B$7,2,FALSE),"Тип генерации не заполнен")))</f>
        <v>Формат constraints:
null_ratio=0..1;
is_unique=true/false;
allowed_values=[1, 2, 3];
min_value=0;
max_value=1000</v>
      </c>
      <c r="J4" s="7" t="str">
        <f>'Constant List'!$J$2</f>
        <v>table_name="company_groups";
column_name="INN";
relation_type="ONE_TO_MANY|ONE_TO_ONE"</v>
      </c>
      <c r="K4" s="9" t="str">
        <f>'Constant List'!$K$2</f>
        <v>source_column="VALUE_DAY";
rule="YYYYMMDD|YYYY|MM"</v>
      </c>
    </row>
    <row r="5" spans="1:11" ht="46.05" customHeight="1" x14ac:dyDescent="0.45">
      <c r="A5" s="8" t="s">
        <v>129</v>
      </c>
      <c r="B5" s="8" t="s">
        <v>82</v>
      </c>
      <c r="C5" s="8" t="s">
        <v>82</v>
      </c>
      <c r="D5" s="8"/>
      <c r="E5" s="8" t="s">
        <v>130</v>
      </c>
      <c r="F5" s="8"/>
      <c r="G5" s="8" t="s">
        <v>88</v>
      </c>
      <c r="H5" s="8"/>
      <c r="I5" s="7" t="str">
        <f>IF($F5&lt;&gt;"","Для foreign_key допустим только null_ratio=0..1. gen_data_type и output_data_type выводятся из parent column.",IF($H5&lt;&gt;"","Для derive укажите output_data_type и engine_scope; доступные rule: YYYYMMDD|YYYY|MM; gen_data_type/constraints/foreign_key оставьте пустыми.",IFERROR(VLOOKUP($B5,'Constant List'!$A$2:$B$7,2,FALSE),"Тип генерации не заполнен")))</f>
        <v>Формат constraints:
null_ratio=0..1;
is_unique=true/false;
allowed_values=["A", "B"];
length=10;
character_set="letters|digits|alphanumeric";
case_mode="mixed|lower|upper";
regular_expr="^[A-Z0-9]{6}$"</v>
      </c>
      <c r="J5" s="7" t="str">
        <f>'Constant List'!$J$2</f>
        <v>table_name="company_groups";
column_name="INN";
relation_type="ONE_TO_MANY|ONE_TO_ONE"</v>
      </c>
      <c r="K5" s="9" t="str">
        <f>'Constant List'!$K$2</f>
        <v>source_column="VALUE_DAY";
rule="YYYYMMDD|YYYY|MM"</v>
      </c>
    </row>
    <row r="6" spans="1:11" ht="28.05" customHeight="1" x14ac:dyDescent="0.45">
      <c r="A6" s="8" t="s">
        <v>131</v>
      </c>
      <c r="B6" s="8" t="s">
        <v>82</v>
      </c>
      <c r="C6" s="8" t="s">
        <v>82</v>
      </c>
      <c r="D6" s="8"/>
      <c r="E6" s="8" t="s">
        <v>132</v>
      </c>
      <c r="F6" s="8"/>
      <c r="G6" s="8" t="s">
        <v>88</v>
      </c>
      <c r="H6" s="8"/>
      <c r="I6" s="7" t="str">
        <f>IF($F6&lt;&gt;"","Для foreign_key допустим только null_ratio=0..1. gen_data_type и output_data_type выводятся из parent column.",IF($H6&lt;&gt;"","Для derive укажите output_data_type и engine_scope; доступные rule: YYYYMMDD|YYYY|MM; gen_data_type/constraints/foreign_key оставьте пустыми.",IFERROR(VLOOKUP($B6,'Constant List'!$A$2:$B$7,2,FALSE),"Тип генерации не заполнен")))</f>
        <v>Формат constraints:
null_ratio=0..1;
is_unique=true/false;
allowed_values=["A", "B"];
length=10;
character_set="letters|digits|alphanumeric";
case_mode="mixed|lower|upper";
regular_expr="^[A-Z0-9]{6}$"</v>
      </c>
      <c r="J6" s="7" t="str">
        <f>'Constant List'!$J$2</f>
        <v>table_name="company_groups";
column_name="INN";
relation_type="ONE_TO_MANY|ONE_TO_ONE"</v>
      </c>
      <c r="K6" s="9" t="str">
        <f>'Constant List'!$K$2</f>
        <v>source_column="VALUE_DAY";
rule="YYYYMMDD|YYYY|MM"</v>
      </c>
    </row>
    <row r="7" spans="1:11" ht="46.05" customHeight="1" x14ac:dyDescent="0.45">
      <c r="A7" s="8" t="s">
        <v>133</v>
      </c>
      <c r="B7" s="8" t="s">
        <v>82</v>
      </c>
      <c r="C7" s="8" t="s">
        <v>82</v>
      </c>
      <c r="D7" s="8"/>
      <c r="E7" s="8" t="s">
        <v>134</v>
      </c>
      <c r="F7" s="8"/>
      <c r="G7" s="8" t="s">
        <v>88</v>
      </c>
      <c r="H7" s="8"/>
      <c r="I7" s="7" t="str">
        <f>IF($F7&lt;&gt;"","Для foreign_key допустим только null_ratio=0..1. gen_data_type и output_data_type выводятся из parent column.",IF($H7&lt;&gt;"","Для derive укажите output_data_type и engine_scope; доступные rule: YYYYMMDD|YYYY|MM; gen_data_type/constraints/foreign_key оставьте пустыми.",IFERROR(VLOOKUP($B7,'Constant List'!$A$2:$B$7,2,FALSE),"Тип генерации не заполнен")))</f>
        <v>Формат constraints:
null_ratio=0..1;
is_unique=true/false;
allowed_values=["A", "B"];
length=10;
character_set="letters|digits|alphanumeric";
case_mode="mixed|lower|upper";
regular_expr="^[A-Z0-9]{6}$"</v>
      </c>
      <c r="J7" s="7" t="str">
        <f>'Constant List'!$J$2</f>
        <v>table_name="company_groups";
column_name="INN";
relation_type="ONE_TO_MANY|ONE_TO_ONE"</v>
      </c>
      <c r="K7" s="9" t="str">
        <f>'Constant List'!$K$2</f>
        <v>source_column="VALUE_DAY";
rule="YYYYMMDD|YYYY|MM"</v>
      </c>
    </row>
    <row r="8" spans="1:11" ht="28.05" customHeight="1" x14ac:dyDescent="0.45">
      <c r="A8" s="8" t="s">
        <v>135</v>
      </c>
      <c r="B8" s="8" t="s">
        <v>90</v>
      </c>
      <c r="C8" s="8" t="s">
        <v>90</v>
      </c>
      <c r="D8" s="8"/>
      <c r="E8" s="8" t="s">
        <v>136</v>
      </c>
      <c r="F8" s="8"/>
      <c r="G8" s="8" t="s">
        <v>88</v>
      </c>
      <c r="H8" s="8"/>
      <c r="I8" s="7" t="str">
        <f>IF($F8&lt;&gt;"","Для foreign_key допустим только null_ratio=0..1. gen_data_type и output_data_type выводятся из parent column.",IF($H8&lt;&gt;"","Для derive укажите output_data_type и engine_scope; доступные rule: YYYYMMDD|YYYY|MM; gen_data_type/constraints/foreign_key оставьте пустыми.",IFERROR(VLOOKUP($B8,'Constant List'!$A$2:$B$7,2,FALSE),"Тип генерации не заполнен")))</f>
        <v>Формат constraints:
null_ratio=0..1;
is_unique=true/false;
allowed_values=[1, 2, 3];
min_value=0;
max_value=1000</v>
      </c>
      <c r="J8" s="7" t="str">
        <f>'Constant List'!$J$2</f>
        <v>table_name="company_groups";
column_name="INN";
relation_type="ONE_TO_MANY|ONE_TO_ONE"</v>
      </c>
      <c r="K8" s="9" t="str">
        <f>'Constant List'!$K$2</f>
        <v>source_column="VALUE_DAY";
rule="YYYYMMDD|YYYY|MM"</v>
      </c>
    </row>
  </sheetData>
  <autoFilter ref="A1:K8" xr:uid="{00000000-0009-0000-0000-000005000000}"/>
  <dataValidations count="3">
    <dataValidation type="list" allowBlank="1" sqref="B2:B500 C2:C500" xr:uid="{00000000-0002-0000-0500-000000000000}">
      <formula1>"STRING,INT,FLOAT,DATE,TIMESTAMP,BOOLEAN"</formula1>
    </dataValidation>
    <dataValidation type="list" allowBlank="1" sqref="G2:G500" xr:uid="{00000000-0002-0000-0500-000001000000}">
      <formula1>"ALL,HIVE_ONLY,ICEBERG_ONLY"</formula1>
    </dataValidation>
    <dataValidation type="list" allowBlank="1" sqref="D2:D500" xr:uid="{00000000-0002-0000-0500-000002000000}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6</vt:i4>
      </vt:variant>
      <vt:variant>
        <vt:lpstr>Именованные диапазоны</vt:lpstr>
      </vt:variant>
      <vt:variant>
        <vt:i4>8</vt:i4>
      </vt:variant>
    </vt:vector>
  </HeadingPairs>
  <TitlesOfParts>
    <vt:vector size="14" baseType="lpstr">
      <vt:lpstr>Инструкция</vt:lpstr>
      <vt:lpstr>Constant List</vt:lpstr>
      <vt:lpstr>tables</vt:lpstr>
      <vt:lpstr>queries</vt:lpstr>
      <vt:lpstr>company_groups</vt:lpstr>
      <vt:lpstr>subjects</vt:lpstr>
      <vt:lpstr>BOOL_VALUES</vt:lpstr>
      <vt:lpstr>GEN_TYPES</vt:lpstr>
      <vt:lpstr>OUTPUT_TYPES_BOOLEAN</vt:lpstr>
      <vt:lpstr>OUTPUT_TYPES_DATE</vt:lpstr>
      <vt:lpstr>OUTPUT_TYPES_FLOAT</vt:lpstr>
      <vt:lpstr>OUTPUT_TYPES_INT</vt:lpstr>
      <vt:lpstr>OUTPUT_TYPES_STRING</vt:lpstr>
      <vt:lpstr>OUTPUT_TYPES_TIMESTAMP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Мусин Рашат Канатович</cp:lastModifiedBy>
  <dcterms:created xsi:type="dcterms:W3CDTF">2026-03-25T11:28:20Z</dcterms:created>
  <dcterms:modified xsi:type="dcterms:W3CDTF">2026-04-14T13:07:24Z</dcterms:modified>
</cp:coreProperties>
</file>