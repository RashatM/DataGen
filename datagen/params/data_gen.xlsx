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920" windowHeight="11475" tabRatio="600" firstSheet="0" activeTab="0" autoFilterDateGrouping="1"/>
  </bookViews>
  <sheets>
    <sheet name="Инструкция" sheetId="1" state="visible" r:id="rId1"/>
    <sheet name="Constant List" sheetId="2" state="visible" r:id="rId2"/>
    <sheet name="tables" sheetId="3" state="visible" r:id="rId3"/>
    <sheet name="analytics_db.company_groups" sheetId="4" state="visible" r:id="rId4"/>
    <sheet name="analytics_db.subjects" sheetId="5" state="visible" r:id="rId5"/>
  </sheets>
  <definedNames>
    <definedName name="BOOL_VALUES">'Constant List'!$H$2:$H$3</definedName>
    <definedName name="GEN_TYPES">'Constant List'!$A$2:$A$7</definedName>
    <definedName name="OUTPUT_TYPES_BOOLEAN">'Constant List'!$R$2:$R$4</definedName>
    <definedName name="OUTPUT_TYPES_DATE">'Constant List'!$P$2:$P$5</definedName>
    <definedName name="OUTPUT_TYPES_FLOAT">'Constant List'!$O$2:$O$4</definedName>
    <definedName name="OUTPUT_TYPES_INT">'Constant List'!$N$2:$N$5</definedName>
    <definedName name="OUTPUT_TYPES_STRING">'Constant List'!$M$2:$M$3</definedName>
    <definedName name="OUTPUT_TYPES_TIMESTAMP">'Constant List'!$Q$2:$Q$5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Calibri"/>
      <color rgb="FF1F1F1F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color rgb="FF385723"/>
      <sz val="11"/>
    </font>
  </fonts>
  <fills count="8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00B050"/>
      </patternFill>
    </fill>
    <fill>
      <patternFill patternType="solid">
        <fgColor rgb="FFF3FBF1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4" borderId="3" applyAlignment="1" pivotButton="0" quotePrefix="0" xfId="0">
      <alignment vertical="top" wrapText="1"/>
    </xf>
    <xf numFmtId="0" fontId="6" fillId="5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top" wrapText="1"/>
    </xf>
    <xf numFmtId="0" fontId="7" fillId="7" borderId="3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6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A1" sqref="A1:B1"/>
    </sheetView>
  </sheetViews>
  <sheetFormatPr baseColWidth="8" defaultRowHeight="14.25"/>
  <cols>
    <col width="34" customWidth="1" style="8" min="1" max="1"/>
    <col width="120" customWidth="1" style="8" min="2" max="2"/>
  </cols>
  <sheetData>
    <row r="1" ht="26" customHeight="1" s="8">
      <c r="A1" s="7" t="inlineStr">
        <is>
          <t>Шаблон DataGen: как заполнять Excel</t>
        </is>
      </c>
      <c r="B1" s="14" t="n"/>
    </row>
    <row r="2" ht="10.05" customHeight="1" s="8"/>
    <row r="3" ht="22.05" customHeight="1" s="8">
      <c r="A3" s="4" t="inlineStr">
        <is>
          <t>Шаг 1</t>
        </is>
      </c>
      <c r="B3" s="5" t="inlineStr">
        <is>
          <t>На листе tables заполните schema_name, table_name и total_rows.</t>
        </is>
      </c>
    </row>
    <row r="4" ht="22.05" customHeight="1" s="8">
      <c r="A4" s="4" t="inlineStr">
        <is>
          <t>Шаг 2</t>
        </is>
      </c>
      <c r="B4" s="5" t="inlineStr">
        <is>
          <t>Для каждой строки из tables используйте отдельный лист с именем schema.table.</t>
        </is>
      </c>
    </row>
    <row r="5" ht="30" customHeight="1" s="8">
      <c r="A5" s="4" t="inlineStr">
        <is>
          <t>Шаг 3</t>
        </is>
      </c>
      <c r="B5" s="5" t="inlineStr">
        <is>
          <t>В листе таблицы обязательны column_name и gen_data_type; output_data_type можно оставить пустым.</t>
        </is>
      </c>
    </row>
    <row r="6" ht="22.05" customHeight="1" s="8">
      <c r="A6" s="4" t="inlineStr">
        <is>
          <t>Шаг 4</t>
        </is>
      </c>
      <c r="B6" s="5" t="inlineStr">
        <is>
          <t>constraints заполняется одной строкой в формате key=value; key=value.</t>
        </is>
      </c>
    </row>
    <row r="7" ht="22.05" customHeight="1" s="8">
      <c r="A7" s="4" t="inlineStr">
        <is>
          <t>Шаг 5</t>
        </is>
      </c>
      <c r="B7" s="5" t="inlineStr">
        <is>
          <t>allowed_values всегда задается JSON-массивом: ["A", "B"], [1, 2], [true, false].</t>
        </is>
      </c>
    </row>
    <row r="8" ht="22.05" customHeight="1" s="8">
      <c r="A8" s="4" t="inlineStr">
        <is>
          <t>Шаг 6</t>
        </is>
      </c>
      <c r="B8" s="5" t="inlineStr">
        <is>
          <t>foreign_key тоже задается одной строкой key=value; key=value.</t>
        </is>
      </c>
    </row>
    <row r="9" ht="30" customHeight="1" s="8">
      <c r="A9" s="4" t="inlineStr">
        <is>
          <t>Шаг 7</t>
        </is>
      </c>
      <c r="B9" s="5" t="inlineStr">
        <is>
          <t>Для foreign_key допустим только null_ratio; остальные generator constraints запрещены.</t>
        </is>
      </c>
    </row>
    <row r="10" ht="22.05" customHeight="1" s="8">
      <c r="A10" s="4" t="inlineStr">
        <is>
          <t>Шаг 8</t>
        </is>
      </c>
      <c r="B10" s="5" t="inlineStr">
        <is>
          <t>Для primary key обязателен null_ratio=0.</t>
        </is>
      </c>
    </row>
    <row r="11" ht="30" customHeight="1" s="8">
      <c r="A11" s="4" t="inlineStr">
        <is>
          <t>Шаг 9</t>
        </is>
      </c>
      <c r="B11" s="5" t="inlineStr">
        <is>
          <t>output_data_type выбирается только из допустимого dropdown по выбранному gen_data_type.</t>
        </is>
      </c>
    </row>
    <row r="12" ht="10.05" customHeight="1" s="8"/>
    <row r="13" ht="24" customHeight="1" s="8">
      <c r="A13" s="6" t="inlineStr">
        <is>
          <t>Общие колонки</t>
        </is>
      </c>
      <c r="B13" s="6" t="n"/>
    </row>
    <row r="14" ht="22.05" customHeight="1" s="8">
      <c r="A14" s="4" t="inlineStr">
        <is>
          <t>column_name</t>
        </is>
      </c>
      <c r="B14" s="5" t="inlineStr">
        <is>
          <t>Имя итоговой колонки в таблице.</t>
        </is>
      </c>
    </row>
    <row r="15" ht="22.05" customHeight="1" s="8">
      <c r="A15" s="4" t="inlineStr">
        <is>
          <t>gen_data_type</t>
        </is>
      </c>
      <c r="B15" s="5" t="inlineStr">
        <is>
          <t>Исходный тип генератора: STRING, INT, FLOAT, DATE, TIMESTAMP, BOOLEAN.</t>
        </is>
      </c>
    </row>
    <row r="16" ht="22.05" customHeight="1" s="8">
      <c r="A16" s="4" t="inlineStr">
        <is>
          <t>output_data_type</t>
        </is>
      </c>
      <c r="B16" s="5" t="inlineStr">
        <is>
          <t>Финальный тип после конвертации; если пусто, результат остается в gen_data_type.</t>
        </is>
      </c>
    </row>
    <row r="17" ht="30" customHeight="1" s="8">
      <c r="A17" s="4" t="inlineStr">
        <is>
          <t>is_primary_key</t>
        </is>
      </c>
      <c r="B17" s="5" t="inlineStr">
        <is>
          <t>TRUE если колонка первичный ключ; тогда значение должно быть уникальным и null_ratio обязан быть 0.</t>
        </is>
      </c>
    </row>
    <row r="18" ht="22.05" customHeight="1" s="8">
      <c r="A18" s="4" t="inlineStr">
        <is>
          <t>constraints</t>
        </is>
      </c>
      <c r="B18" s="5" t="inlineStr">
        <is>
          <t>Одна строка key=value; key=value с ограничениями для выбранного gen_data_type.</t>
        </is>
      </c>
    </row>
    <row r="19" ht="22.05" customHeight="1" s="8">
      <c r="A19" s="4" t="inlineStr">
        <is>
          <t>foreign_key</t>
        </is>
      </c>
      <c r="B19" s="5" t="inlineStr">
        <is>
          <t>Одна строка key=value; key=value со ссылкой на родительскую колонку.</t>
        </is>
      </c>
    </row>
    <row r="20" ht="10.05" customHeight="1" s="8"/>
    <row r="21" ht="24" customHeight="1" s="8">
      <c r="A21" s="6" t="inlineStr">
        <is>
          <t>Общие constraints</t>
        </is>
      </c>
      <c r="B21" s="6" t="n"/>
    </row>
    <row r="22" ht="22.05" customHeight="1" s="8">
      <c r="A22" s="4" t="inlineStr">
        <is>
          <t>null_ratio</t>
        </is>
      </c>
      <c r="B22" s="5" t="inlineStr">
        <is>
          <t>Доля NULL в итоговых данных от 0 до 1.</t>
        </is>
      </c>
    </row>
    <row r="23" ht="22.05" customHeight="1" s="8">
      <c r="A23" s="4" t="inlineStr">
        <is>
          <t>is_unique</t>
        </is>
      </c>
      <c r="B23" s="5" t="inlineStr">
        <is>
          <t>Требует уникальные итоговые значения после всех конвертаций.</t>
        </is>
      </c>
    </row>
    <row r="24" ht="30" customHeight="1" s="8">
      <c r="A24" s="4" t="inlineStr">
        <is>
          <t>allowed_values</t>
        </is>
      </c>
      <c r="B24" s="5" t="inlineStr">
        <is>
          <t>Ограничивает генерацию только указанным списком значений; задается только JSON-массивом.</t>
        </is>
      </c>
    </row>
    <row r="25" ht="10.05" customHeight="1" s="8"/>
    <row r="26" ht="24" customHeight="1" s="8">
      <c r="A26" s="6" t="inlineStr">
        <is>
          <t>STRING constraints</t>
        </is>
      </c>
      <c r="B26" s="6" t="n"/>
    </row>
    <row r="27" ht="22.05" customHeight="1" s="8">
      <c r="A27" s="4" t="inlineStr">
        <is>
          <t>length</t>
        </is>
      </c>
      <c r="B27" s="5" t="inlineStr">
        <is>
          <t>Фиксированная длина строки.</t>
        </is>
      </c>
    </row>
    <row r="28" ht="30" customHeight="1" s="8">
      <c r="A28" s="4" t="inlineStr">
        <is>
          <t>character_set</t>
        </is>
      </c>
      <c r="B28" s="5" t="inlineStr">
        <is>
          <t>Набор символов: letters = только буквы, digits = только цифры, alphanumeric = буквы и цифры.</t>
        </is>
      </c>
    </row>
    <row r="29" ht="30" customHeight="1" s="8">
      <c r="A29" s="4" t="inlineStr">
        <is>
          <t>case_mode</t>
        </is>
      </c>
      <c r="B29" s="5" t="inlineStr">
        <is>
          <t>Регистр строки: mixed = смешанный регистр, lower = только нижний регистр, upper = только верхний регистр.</t>
        </is>
      </c>
    </row>
    <row r="30" ht="22.05" customHeight="1" s="8">
      <c r="A30" s="4" t="inlineStr">
        <is>
          <t>regular_expr</t>
        </is>
      </c>
      <c r="B30" s="5" t="inlineStr">
        <is>
          <t>Regex-шаблон, которому должна соответствовать строка.</t>
        </is>
      </c>
    </row>
    <row r="31" ht="10.05" customHeight="1" s="8"/>
    <row r="32" ht="24" customHeight="1" s="8">
      <c r="A32" s="6" t="inlineStr">
        <is>
          <t>INT / FLOAT constraints</t>
        </is>
      </c>
      <c r="B32" s="6" t="n"/>
    </row>
    <row r="33" ht="22.05" customHeight="1" s="8">
      <c r="A33" s="4" t="inlineStr">
        <is>
          <t>min_value</t>
        </is>
      </c>
      <c r="B33" s="5" t="inlineStr">
        <is>
          <t>Минимальное числовое значение для INT или FLOAT.</t>
        </is>
      </c>
    </row>
    <row r="34" ht="22.05" customHeight="1" s="8">
      <c r="A34" s="4" t="inlineStr">
        <is>
          <t>max_value</t>
        </is>
      </c>
      <c r="B34" s="5" t="inlineStr">
        <is>
          <t>Максимальное числовое значение для INT или FLOAT.</t>
        </is>
      </c>
    </row>
    <row r="35" ht="22.05" customHeight="1" s="8">
      <c r="A35" s="4" t="inlineStr">
        <is>
          <t>precision</t>
        </is>
      </c>
      <c r="B35" s="5" t="inlineStr">
        <is>
          <t>Количество знаков после запятой; используется только для FLOAT.</t>
        </is>
      </c>
    </row>
    <row r="36" ht="10.05" customHeight="1" s="8"/>
    <row r="37" ht="24" customHeight="1" s="8">
      <c r="A37" s="6" t="inlineStr">
        <is>
          <t>DATE constraints</t>
        </is>
      </c>
      <c r="B37" s="6" t="n"/>
    </row>
    <row r="38" ht="22.05" customHeight="1" s="8">
      <c r="A38" s="4" t="inlineStr">
        <is>
          <t>min_value</t>
        </is>
      </c>
      <c r="B38" s="5" t="inlineStr">
        <is>
          <t>Минимальная дата; задается строкой, которую можно распарсить как дату.</t>
        </is>
      </c>
    </row>
    <row r="39" ht="22.05" customHeight="1" s="8">
      <c r="A39" s="4" t="inlineStr">
        <is>
          <t>max_value</t>
        </is>
      </c>
      <c r="B39" s="5" t="inlineStr">
        <is>
          <t>Максимальная дата; задается строкой, которую можно распарсить как дату.</t>
        </is>
      </c>
    </row>
    <row r="40" ht="30" customHeight="1" s="8">
      <c r="A40" s="4" t="inlineStr">
        <is>
          <t>date_format</t>
        </is>
      </c>
      <c r="B40" s="5" t="inlineStr">
        <is>
          <t>Формат текстового вывода даты, например %Y-%m-%d; обычно используется вместе с output_data_type=STRING.</t>
        </is>
      </c>
    </row>
    <row r="41" ht="10.05" customHeight="1" s="8"/>
    <row r="42" ht="24" customHeight="1" s="8">
      <c r="A42" s="6" t="inlineStr">
        <is>
          <t>TIMESTAMP constraints</t>
        </is>
      </c>
      <c r="B42" s="6" t="n"/>
    </row>
    <row r="43" ht="22.05" customHeight="1" s="8">
      <c r="A43" s="4" t="inlineStr">
        <is>
          <t>min_timestamp</t>
        </is>
      </c>
      <c r="B43" s="5" t="inlineStr">
        <is>
          <t>Минимальный timestamp в формате строки, например 2024-01-01 00:00:00.</t>
        </is>
      </c>
    </row>
    <row r="44" ht="22.05" customHeight="1" s="8">
      <c r="A44" s="4" t="inlineStr">
        <is>
          <t>max_timestamp</t>
        </is>
      </c>
      <c r="B44" s="5" t="inlineStr">
        <is>
          <t>Максимальный timestamp в формате строки, например 2024-12-31 23:59:59.</t>
        </is>
      </c>
    </row>
    <row r="45" ht="22.05" customHeight="1" s="8">
      <c r="A45" s="4" t="inlineStr">
        <is>
          <t>timestamp_format</t>
        </is>
      </c>
      <c r="B45" s="5" t="inlineStr">
        <is>
          <t>Формат текстового вывода timestamp, например %Y-%m-%d %H:%M:%S.</t>
        </is>
      </c>
    </row>
    <row r="46" ht="10.05" customHeight="1" s="8"/>
    <row r="47" ht="24" customHeight="1" s="8">
      <c r="A47" s="6" t="inlineStr">
        <is>
          <t>BOOLEAN constraints</t>
        </is>
      </c>
      <c r="B47" s="6" t="n"/>
    </row>
    <row r="48" ht="22.05" customHeight="1" s="8">
      <c r="A48" s="4" t="inlineStr">
        <is>
          <t>allowed_values</t>
        </is>
      </c>
      <c r="B48" s="5" t="inlineStr">
        <is>
          <t>Обычно [true, false], но можно ограничить, например, только [true].</t>
        </is>
      </c>
    </row>
    <row r="49" ht="10.05" customHeight="1" s="8"/>
    <row r="50" ht="24" customHeight="1" s="8">
      <c r="A50" s="6" t="inlineStr">
        <is>
          <t>Foreign Key</t>
        </is>
      </c>
      <c r="B50" s="6" t="n"/>
    </row>
    <row r="51" ht="30" customHeight="1" s="8">
      <c r="A51" s="4" t="inlineStr">
        <is>
          <t>foreign_key</t>
        </is>
      </c>
      <c r="B51" s="5" t="inlineStr">
        <is>
          <t>Формат: schema_name="analytics_db"; table_name="company_groups"; column_name="INN"; relation_type="ONE_TO_MANY".</t>
        </is>
      </c>
    </row>
    <row r="52" ht="36" customHeight="1" s="8">
      <c r="A52" s="4" t="inlineStr">
        <is>
          <t>relation_type</t>
        </is>
      </c>
      <c r="B52" s="5" t="inlineStr">
        <is>
          <t>ONE_TO_MANY = много дочерних строк могут ссылаться на одного родителя; ONE_TO_ONE = ссылка должна быть уникальной.</t>
        </is>
      </c>
    </row>
    <row r="53" ht="22.05" customHeight="1" s="8">
      <c r="A53" s="4" t="inlineStr">
        <is>
          <t>Ограничение</t>
        </is>
      </c>
      <c r="B53" s="5" t="inlineStr">
        <is>
          <t>Если указан foreign_key, из generator constraints допустим только null_ratio.</t>
        </is>
      </c>
    </row>
    <row r="54" ht="10.05" customHeight="1" s="8"/>
    <row r="55" ht="24" customHeight="1" s="8">
      <c r="A55" s="6" t="inlineStr">
        <is>
          <t>Разрешенные output_data_type</t>
        </is>
      </c>
      <c r="B55" s="6" t="n"/>
    </row>
    <row r="56" ht="22.05" customHeight="1" s="8">
      <c r="A56" s="4" t="inlineStr">
        <is>
          <t>STRING</t>
        </is>
      </c>
      <c r="B56" s="5" t="inlineStr">
        <is>
          <t>STRING, INT</t>
        </is>
      </c>
    </row>
    <row r="57" ht="22.05" customHeight="1" s="8">
      <c r="A57" s="4" t="inlineStr">
        <is>
          <t>INT</t>
        </is>
      </c>
      <c r="B57" s="5" t="inlineStr">
        <is>
          <t>INT, FLOAT, STRING, BOOLEAN</t>
        </is>
      </c>
    </row>
    <row r="58" ht="22.05" customHeight="1" s="8">
      <c r="A58" s="4" t="inlineStr">
        <is>
          <t>FLOAT</t>
        </is>
      </c>
      <c r="B58" s="5" t="inlineStr">
        <is>
          <t>FLOAT, STRING, INT</t>
        </is>
      </c>
    </row>
    <row r="59" ht="22.05" customHeight="1" s="8">
      <c r="A59" s="4" t="inlineStr">
        <is>
          <t>DATE</t>
        </is>
      </c>
      <c r="B59" s="5" t="inlineStr">
        <is>
          <t>DATE, STRING, INT, TIMESTAMP</t>
        </is>
      </c>
    </row>
    <row r="60" ht="22.05" customHeight="1" s="8">
      <c r="A60" s="4" t="inlineStr">
        <is>
          <t>TIMESTAMP</t>
        </is>
      </c>
      <c r="B60" s="5" t="inlineStr">
        <is>
          <t>TIMESTAMP, STRING, INT, DATE</t>
        </is>
      </c>
    </row>
    <row r="61" ht="22.05" customHeight="1" s="8">
      <c r="A61" s="4" t="inlineStr">
        <is>
          <t>BOOLEAN</t>
        </is>
      </c>
      <c r="B61" s="5" t="inlineStr">
        <is>
          <t>BOOLEAN, STRING, INT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B2" sqref="B2"/>
    </sheetView>
  </sheetViews>
  <sheetFormatPr baseColWidth="8" defaultRowHeight="14.25"/>
  <cols>
    <col width="63.265625" customWidth="1" style="8" min="2" max="2"/>
    <col width="24.06640625" customWidth="1" style="8" min="10" max="10"/>
  </cols>
  <sheetData>
    <row r="1">
      <c r="A1" t="inlineStr">
        <is>
          <t>Data Type</t>
        </is>
      </c>
      <c r="B1" t="inlineStr">
        <is>
          <t>Constraint Hint</t>
        </is>
      </c>
      <c r="H1" t="inlineStr">
        <is>
          <t>Bool</t>
        </is>
      </c>
      <c r="J1" t="inlineStr">
        <is>
          <t>Foreign Key Example</t>
        </is>
      </c>
      <c r="M1" t="inlineStr">
        <is>
          <t>OUTPUT_TYPES_STRING</t>
        </is>
      </c>
      <c r="N1" t="inlineStr">
        <is>
          <t>OUTPUT_TYPES_INT</t>
        </is>
      </c>
      <c r="O1" t="inlineStr">
        <is>
          <t>OUTPUT_TYPES_FLOAT</t>
        </is>
      </c>
      <c r="P1" t="inlineStr">
        <is>
          <t>OUTPUT_TYPES_DATE</t>
        </is>
      </c>
      <c r="Q1" t="inlineStr">
        <is>
          <t>OUTPUT_TYPES_TIMESTAMP</t>
        </is>
      </c>
      <c r="R1" t="inlineStr">
        <is>
          <t>OUTPUT_TYPES_BOOLEAN</t>
        </is>
      </c>
    </row>
    <row r="2" ht="114" customHeight="1" s="8">
      <c r="A2" t="inlineStr">
        <is>
          <t>STRING</t>
        </is>
      </c>
      <c r="B2" s="13" t="inlineStr">
        <is>
          <t>Формат constraints: 
null_ratio=0..1; 
is_unique=true/false; 
allowed_values=["A", "B"]; 
length=10; 
character_set="letters|digits|alphanumeric"; 
case_mode="mixed|lower|upper"; 
regular_expr="^[A-Z0-9]{6}$"</t>
        </is>
      </c>
      <c r="H2" t="inlineStr">
        <is>
          <t>TRUE</t>
        </is>
      </c>
      <c r="J2" s="13" t="inlineStr">
        <is>
          <t>schema_name="analytics_db"; 
table_name="company_groups"; 
column_name="INN"; 
relation_type="ONE_TO_MANY|ONE_TO_ONE"</t>
        </is>
      </c>
      <c r="M2" t="inlineStr">
        <is>
          <t>STRING</t>
        </is>
      </c>
      <c r="N2" t="inlineStr">
        <is>
          <t>INT</t>
        </is>
      </c>
      <c r="O2" t="inlineStr">
        <is>
          <t>FLOAT</t>
        </is>
      </c>
      <c r="P2" t="inlineStr">
        <is>
          <t>DATE</t>
        </is>
      </c>
      <c r="Q2" t="inlineStr">
        <is>
          <t>TIMESTAMP</t>
        </is>
      </c>
      <c r="R2" t="inlineStr">
        <is>
          <t>BOOLEAN</t>
        </is>
      </c>
    </row>
    <row r="3" ht="85.5" customHeight="1" s="8">
      <c r="A3" t="inlineStr">
        <is>
          <t>INT</t>
        </is>
      </c>
      <c r="B3" s="13" t="inlineStr">
        <is>
          <t>Формат constraints: 
null_ratio=0..1; 
is_unique=true/false; 
allowed_values=[1, 2, 3];
min_value=0; 
max_value=1000</t>
        </is>
      </c>
      <c r="H3" t="inlineStr">
        <is>
          <t>FALSE</t>
        </is>
      </c>
      <c r="M3" t="inlineStr">
        <is>
          <t>INT</t>
        </is>
      </c>
      <c r="N3" t="inlineStr">
        <is>
          <t>FLOAT</t>
        </is>
      </c>
      <c r="O3" t="inlineStr">
        <is>
          <t>STRING</t>
        </is>
      </c>
      <c r="P3" t="inlineStr">
        <is>
          <t>STRING</t>
        </is>
      </c>
      <c r="Q3" t="inlineStr">
        <is>
          <t>STRING</t>
        </is>
      </c>
      <c r="R3" t="inlineStr">
        <is>
          <t>STRING</t>
        </is>
      </c>
    </row>
    <row r="4" ht="99.75" customHeight="1" s="8">
      <c r="A4" t="inlineStr">
        <is>
          <t>FLOAT</t>
        </is>
      </c>
      <c r="B4" s="13" t="inlineStr">
        <is>
          <t>Формат constraints:
null_ratio=0..1; 
is_unique=true/false; 
allowed_values=[10.5, 20.25]; 
min_value=0.0; 
max_value=1000.0; 
precision=2</t>
        </is>
      </c>
      <c r="N4" t="inlineStr">
        <is>
          <t>STRING</t>
        </is>
      </c>
      <c r="O4" t="inlineStr">
        <is>
          <t>INT</t>
        </is>
      </c>
      <c r="P4" t="inlineStr">
        <is>
          <t>INT</t>
        </is>
      </c>
      <c r="Q4" t="inlineStr">
        <is>
          <t>INT</t>
        </is>
      </c>
      <c r="R4" t="inlineStr">
        <is>
          <t>INT</t>
        </is>
      </c>
    </row>
    <row r="5" ht="99.75" customHeight="1" s="8">
      <c r="A5" t="inlineStr">
        <is>
          <t>DATE</t>
        </is>
      </c>
      <c r="B5" s="13" t="inlineStr">
        <is>
          <t>Формат constraints: 
null_ratio=0..1; 
is_unique=true/false; 
allowed_values=["2024-01-01", "2024-01-02"]; 
min_value="2024-01-01"; 
max_value="2024-12-31"; 
date_format="%Y-%m-%d"</t>
        </is>
      </c>
      <c r="N5" t="inlineStr">
        <is>
          <t>BOOLEAN</t>
        </is>
      </c>
      <c r="P5" t="inlineStr">
        <is>
          <t>TIMESTAMP</t>
        </is>
      </c>
      <c r="Q5" t="inlineStr">
        <is>
          <t>DATE</t>
        </is>
      </c>
    </row>
    <row r="6" ht="99.75" customHeight="1" s="8">
      <c r="A6" t="inlineStr">
        <is>
          <t>TIMESTAMP</t>
        </is>
      </c>
      <c r="B6" s="13" t="inlineStr">
        <is>
          <t>Формат constraints: 
null_ratio=0..1; 
is_unique=true/false; 
allowed_values=["2024-01-01 00:00:00", "2024-01-01 00:01:00"]; 
min_timestamp="2024-01-01 00:00:00"; 
max_timestamp="2024-12-31 23:59:59"; 
timestamp_format="%Y-%m-%d %H:%M:%S"</t>
        </is>
      </c>
    </row>
    <row r="7" ht="57" customHeight="1" s="8">
      <c r="A7" t="inlineStr">
        <is>
          <t>BOOLEAN</t>
        </is>
      </c>
      <c r="B7" s="13" t="inlineStr">
        <is>
          <t>Формат constraints: 
null_ratio=0..1; 
is_unique=true/false; 
allowed_values=[true, false]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4.25"/>
  <cols>
    <col width="18" customWidth="1" style="8" min="1" max="2"/>
    <col width="12" customWidth="1" style="8" min="3" max="3"/>
  </cols>
  <sheetData>
    <row r="1">
      <c r="A1" s="1" t="inlineStr">
        <is>
          <t>source_type</t>
        </is>
      </c>
      <c r="B1" s="1" t="inlineStr">
        <is>
          <t>source_name</t>
        </is>
      </c>
    </row>
    <row r="2">
      <c r="A2" s="2" t="inlineStr">
        <is>
          <t>json</t>
        </is>
      </c>
      <c r="B2" s="2" t="inlineStr">
        <is>
          <t>example_source</t>
        </is>
      </c>
    </row>
    <row r="6" ht="24" customHeight="1" s="8">
      <c r="A6" s="3" t="inlineStr">
        <is>
          <t>schema_name</t>
        </is>
      </c>
      <c r="B6" s="3" t="inlineStr">
        <is>
          <t>table_name</t>
        </is>
      </c>
      <c r="C6" s="3" t="inlineStr">
        <is>
          <t>total_rows</t>
        </is>
      </c>
    </row>
    <row r="7">
      <c r="A7" s="2" t="inlineStr">
        <is>
          <t>analytics_db</t>
        </is>
      </c>
      <c r="B7" s="2" t="inlineStr">
        <is>
          <t>company_groups</t>
        </is>
      </c>
      <c r="C7" s="2" t="n">
        <v>5000</v>
      </c>
    </row>
    <row r="8">
      <c r="A8" s="2" t="inlineStr">
        <is>
          <t>analytics_db</t>
        </is>
      </c>
      <c r="B8" s="2" t="inlineStr">
        <is>
          <t>subjects</t>
        </is>
      </c>
      <c r="C8" s="2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H1" sqref="H1"/>
    </sheetView>
  </sheetViews>
  <sheetFormatPr baseColWidth="8" defaultRowHeight="14.25"/>
  <cols>
    <col width="12.33203125" bestFit="1" customWidth="1" style="8" min="1" max="1"/>
    <col width="12.9296875" bestFit="1" customWidth="1" style="8" min="2" max="2"/>
    <col width="15.53125" bestFit="1" customWidth="1" style="8" min="3" max="3"/>
    <col width="13.1328125" bestFit="1" customWidth="1" style="8" min="4" max="4"/>
    <col width="20.46484375" customWidth="1" style="8" min="5" max="5"/>
    <col width="20.59765625" customWidth="1" style="8" min="6" max="6"/>
    <col width="38.06640625" customWidth="1" style="8" min="7" max="7"/>
    <col width="39.6640625" customWidth="1" style="8" min="8" max="8"/>
  </cols>
  <sheetData>
    <row r="1" ht="30" customHeight="1" s="8">
      <c r="A1" s="9" t="inlineStr">
        <is>
          <t>column_name</t>
        </is>
      </c>
      <c r="B1" s="9" t="inlineStr">
        <is>
          <t>gen_data_type</t>
        </is>
      </c>
      <c r="C1" s="9" t="inlineStr">
        <is>
          <t>output_data_type</t>
        </is>
      </c>
      <c r="D1" s="9" t="inlineStr">
        <is>
          <t>is_primary_key</t>
        </is>
      </c>
      <c r="E1" s="9" t="inlineStr">
        <is>
          <t>constraints</t>
        </is>
      </c>
      <c r="F1" s="9" t="inlineStr">
        <is>
          <t>foreign_key</t>
        </is>
      </c>
      <c r="G1" s="10" t="inlineStr">
        <is>
          <t>Подсказка по constraints</t>
        </is>
      </c>
      <c r="H1" s="10" t="inlineStr">
        <is>
          <t>Пример заполнения foreign_key</t>
        </is>
      </c>
    </row>
    <row r="2" ht="114" customHeight="1" s="8">
      <c r="A2" s="11" t="inlineStr">
        <is>
          <t>INN</t>
        </is>
      </c>
      <c r="B2" s="11" t="inlineStr">
        <is>
          <t>STRING</t>
        </is>
      </c>
      <c r="C2" s="11" t="inlineStr">
        <is>
          <t>INT</t>
        </is>
      </c>
      <c r="D2" s="11" t="b">
        <v>1</v>
      </c>
      <c r="E2" s="11" t="inlineStr">
        <is>
          <t>null_ratio=0; is_unique=true; length=10; character_set="digits"</t>
        </is>
      </c>
      <c r="F2" s="11" t="n"/>
      <c r="G2" s="12">
        <f>IF($F2&lt;&gt;"","Для foreign_key допустим только null_ratio=0..1. Остальные generator constraints запрещены.",IFERROR(VLOOKUP($B2,'Constant List'!$A$2:$B$7,2,FALSE),"Тип данных не заполнен"))</f>
        <v/>
      </c>
      <c r="H2" s="12">
        <f>'Constant List'!$J$2</f>
        <v/>
      </c>
    </row>
    <row r="3" ht="85.5" customHeight="1" s="8">
      <c r="A3" s="11" t="inlineStr">
        <is>
          <t>GROUP_ID_DM</t>
        </is>
      </c>
      <c r="B3" s="11" t="inlineStr">
        <is>
          <t>INT</t>
        </is>
      </c>
      <c r="C3" s="11" t="n"/>
      <c r="D3" s="11" t="n"/>
      <c r="E3" s="11" t="inlineStr">
        <is>
          <t>null_ratio=0; min_value=1; max_value=6000000</t>
        </is>
      </c>
      <c r="F3" s="11" t="n"/>
      <c r="G3" s="12">
        <f>IF($F3&lt;&gt;"","Для foreign_key допустим только null_ratio=0..1. Остальные generator constraints запрещены.",IFERROR(VLOOKUP($B3,'Constant List'!$A$2:$B$7,2,FALSE),"Тип данных не заполнен"))</f>
        <v/>
      </c>
      <c r="H3" s="12">
        <f>'Constant List'!$J$2</f>
        <v/>
      </c>
    </row>
    <row r="4" ht="85.5" customHeight="1" s="8">
      <c r="A4" s="11" t="inlineStr">
        <is>
          <t>MAIN_COMPANY_FLG_DM</t>
        </is>
      </c>
      <c r="B4" s="11" t="inlineStr">
        <is>
          <t>INT</t>
        </is>
      </c>
      <c r="C4" s="11" t="n"/>
      <c r="D4" s="11" t="n"/>
      <c r="E4" s="11" t="inlineStr">
        <is>
          <t>allowed_values=[0, 1]</t>
        </is>
      </c>
      <c r="F4" s="11" t="n"/>
      <c r="G4" s="12">
        <f>IF($F4&lt;&gt;"","Для foreign_key допустим только null_ratio=0..1. Остальные generator constraints запрещены.",IFERROR(VLOOKUP($B4,'Constant List'!$A$2:$B$7,2,FALSE),"Тип данных не заполнен"))</f>
        <v/>
      </c>
      <c r="H4" s="12">
        <f>'Constant List'!$J$2</f>
        <v/>
      </c>
    </row>
    <row r="5" ht="99.75" customHeight="1" s="8">
      <c r="A5" s="11" t="inlineStr">
        <is>
          <t>VALUE_DAY</t>
        </is>
      </c>
      <c r="B5" s="11" t="inlineStr">
        <is>
          <t>DATE</t>
        </is>
      </c>
      <c r="C5" s="11" t="inlineStr">
        <is>
          <t>INT</t>
        </is>
      </c>
      <c r="D5" s="11" t="n"/>
      <c r="E5" s="11" t="inlineStr">
        <is>
          <t>date_format="%Y%m%d"</t>
        </is>
      </c>
      <c r="F5" s="11" t="n"/>
      <c r="G5" s="12">
        <f>IF($F5&lt;&gt;"","Для foreign_key допустим только null_ratio=0..1. Остальные generator constraints запрещены.",IFERROR(VLOOKUP($B5,'Constant List'!$A$2:$B$7,2,FALSE),"Тип данных не заполнен"))</f>
        <v/>
      </c>
      <c r="H5" s="12">
        <f>'Constant List'!$J$2</f>
        <v/>
      </c>
    </row>
  </sheetData>
  <dataValidations count="3">
    <dataValidation sqref="B2:B5" showDropDown="0" showInputMessage="0" showErrorMessage="0" allowBlank="1" type="list">
      <formula1>GEN_TYPES</formula1>
    </dataValidation>
    <dataValidation sqref="D2:D5" showDropDown="0" showInputMessage="0" showErrorMessage="0" allowBlank="1" type="list">
      <formula1>BOOL_VALUES</formula1>
    </dataValidation>
    <dataValidation sqref="C2:C5" showDropDown="0" showInputMessage="0" showErrorMessage="0" allowBlank="1" type="list">
      <formula1>IF($B2="",GEN_TYPES,INDIRECT("OUTPUT_TYPES_"&amp;$B2))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4.25"/>
  <cols>
    <col width="12.33203125" bestFit="1" customWidth="1" style="8" min="1" max="1"/>
    <col width="12.9296875" bestFit="1" customWidth="1" style="8" min="2" max="2"/>
    <col width="15.53125" bestFit="1" customWidth="1" style="8" min="3" max="3"/>
    <col width="13.1328125" bestFit="1" customWidth="1" style="8" min="4" max="4"/>
    <col width="21" customWidth="1" style="8" min="5" max="5"/>
    <col width="26.33203125" customWidth="1" style="8" min="6" max="6"/>
    <col width="57.59765625" customWidth="1" style="8" min="7" max="7"/>
    <col width="38.6640625" bestFit="1" customWidth="1" style="8" min="8" max="8"/>
  </cols>
  <sheetData>
    <row r="1" ht="30" customHeight="1" s="8">
      <c r="A1" s="9" t="inlineStr">
        <is>
          <t>column_name</t>
        </is>
      </c>
      <c r="B1" s="9" t="inlineStr">
        <is>
          <t>gen_data_type</t>
        </is>
      </c>
      <c r="C1" s="9" t="inlineStr">
        <is>
          <t>output_data_type</t>
        </is>
      </c>
      <c r="D1" s="9" t="inlineStr">
        <is>
          <t>is_primary_key</t>
        </is>
      </c>
      <c r="E1" s="9" t="inlineStr">
        <is>
          <t>constraints</t>
        </is>
      </c>
      <c r="F1" s="9" t="inlineStr">
        <is>
          <t>foreign_key</t>
        </is>
      </c>
      <c r="G1" s="10" t="inlineStr">
        <is>
          <t>Подсказка по constraints</t>
        </is>
      </c>
      <c r="H1" s="10" t="inlineStr">
        <is>
          <t>Пример заполнения foreign_key</t>
        </is>
      </c>
    </row>
    <row r="2" ht="128.25" customHeight="1" s="8">
      <c r="A2" s="11" t="inlineStr">
        <is>
          <t>STYPE</t>
        </is>
      </c>
      <c r="B2" s="11" t="inlineStr">
        <is>
          <t>STRING</t>
        </is>
      </c>
      <c r="C2" s="11" t="n"/>
      <c r="D2" s="11" t="n"/>
      <c r="E2" s="11" t="inlineStr">
        <is>
          <t>allowed_values=["c", "cpr"]</t>
        </is>
      </c>
      <c r="F2" s="11" t="n"/>
      <c r="G2" s="12">
        <f>IF($F2&lt;&gt;"","Для foreign_key допустим только null_ratio=0..1. Остальные generator constraints запрещены.",IFERROR(VLOOKUP($B2,'Constant List'!$A$2:$B$7,2,FALSE),"Тип данных не заполнен"))</f>
        <v/>
      </c>
      <c r="H2" s="12">
        <f>'Constant List'!$J$2</f>
        <v/>
      </c>
    </row>
    <row r="3" ht="57" customHeight="1" s="8">
      <c r="A3" s="11" t="inlineStr">
        <is>
          <t>SINN</t>
        </is>
      </c>
      <c r="B3" s="11" t="inlineStr">
        <is>
          <t>INT</t>
        </is>
      </c>
      <c r="C3" s="11" t="n"/>
      <c r="D3" s="11" t="n"/>
      <c r="E3" s="11" t="n"/>
      <c r="F3" s="11" t="inlineStr">
        <is>
          <t>schema_name="analytics_db"; table_name="company_groups"; column_name="INN"; relation_type="ONE_TO_MANY"</t>
        </is>
      </c>
      <c r="G3" s="12">
        <f>IF($F3&lt;&gt;"","Для foreign_key допустим только null_ratio=0..1. Остальные generator constraints запрещены.",IFERROR(VLOOKUP($B3,'Constant List'!$A$2:$B$7,2,FALSE),"Тип данных не заполнен"))</f>
        <v/>
      </c>
      <c r="H3" s="12">
        <f>'Constant List'!$J$2</f>
        <v/>
      </c>
    </row>
    <row r="4" ht="85.5" customHeight="1" s="8">
      <c r="A4" s="11" t="inlineStr">
        <is>
          <t>SOGRN</t>
        </is>
      </c>
      <c r="B4" s="11" t="inlineStr">
        <is>
          <t>INT</t>
        </is>
      </c>
      <c r="C4" s="11" t="n"/>
      <c r="D4" s="11" t="n"/>
      <c r="E4" s="11" t="inlineStr">
        <is>
          <t>null_ratio=0.1; min_value=1000000000000; max_value=1000000000000000</t>
        </is>
      </c>
      <c r="F4" s="11" t="n"/>
      <c r="G4" s="12">
        <f>IF($F4&lt;&gt;"","Для foreign_key допустим только null_ratio=0..1. Остальные generator constraints запрещены.",IFERROR(VLOOKUP($B4,'Constant List'!$A$2:$B$7,2,FALSE),"Тип данных не заполнен"))</f>
        <v/>
      </c>
      <c r="H4" s="12">
        <f>'Constant List'!$J$2</f>
        <v/>
      </c>
    </row>
    <row r="5" ht="128.25" customHeight="1" s="8">
      <c r="A5" s="11" t="inlineStr">
        <is>
          <t>SPIN</t>
        </is>
      </c>
      <c r="B5" s="11" t="inlineStr">
        <is>
          <t>STRING</t>
        </is>
      </c>
      <c r="C5" s="11" t="n"/>
      <c r="D5" s="11" t="n"/>
      <c r="E5" s="11" t="inlineStr">
        <is>
          <t>null_ratio=0.1; length=6; case_mode="upper"; regular_expr="^[A-Z0-9]{6}$"</t>
        </is>
      </c>
      <c r="F5" s="11" t="n"/>
      <c r="G5" s="12">
        <f>IF($F5&lt;&gt;"","Для foreign_key допустим только null_ratio=0..1. Остальные generator constraints запрещены.",IFERROR(VLOOKUP($B5,'Constant List'!$A$2:$B$7,2,FALSE),"Тип данных не заполнен"))</f>
        <v/>
      </c>
      <c r="H5" s="12">
        <f>'Constant List'!$J$2</f>
        <v/>
      </c>
    </row>
    <row r="6" ht="128.25" customHeight="1" s="8">
      <c r="A6" s="11" t="inlineStr">
        <is>
          <t>SABSCODE</t>
        </is>
      </c>
      <c r="B6" s="11" t="inlineStr">
        <is>
          <t>STRING</t>
        </is>
      </c>
      <c r="C6" s="11" t="n"/>
      <c r="D6" s="11" t="n"/>
      <c r="E6" s="11" t="inlineStr">
        <is>
          <t>allowed_values=["SFAProd"]</t>
        </is>
      </c>
      <c r="F6" s="11" t="n"/>
      <c r="G6" s="12">
        <f>IF($F6&lt;&gt;"","Для foreign_key допустим только null_ratio=0..1. Остальные generator constraints запрещены.",IFERROR(VLOOKUP($B6,'Constant List'!$A$2:$B$7,2,FALSE),"Тип данных не заполнен"))</f>
        <v/>
      </c>
      <c r="H6" s="12">
        <f>'Constant List'!$J$2</f>
        <v/>
      </c>
    </row>
    <row r="7" ht="128.25" customHeight="1" s="8">
      <c r="A7" s="11" t="inlineStr">
        <is>
          <t>SPINSFA</t>
        </is>
      </c>
      <c r="B7" s="11" t="inlineStr">
        <is>
          <t>STRING</t>
        </is>
      </c>
      <c r="C7" s="11" t="n"/>
      <c r="D7" s="11" t="n"/>
      <c r="E7" s="11" t="inlineStr">
        <is>
          <t>regular_expr="^ABR-FW-SCRMFW-WORK-ACCOUNT ACB-\d+$"</t>
        </is>
      </c>
      <c r="F7" s="11" t="n"/>
      <c r="G7" s="12">
        <f>IF($F7&lt;&gt;"","Для foreign_key допустим только null_ratio=0..1. Остальные generator constraints запрещены.",IFERROR(VLOOKUP($B7,'Constant List'!$A$2:$B$7,2,FALSE),"Тип данных не заполнен"))</f>
        <v/>
      </c>
      <c r="H7" s="12">
        <f>'Constant List'!$J$2</f>
        <v/>
      </c>
    </row>
    <row r="8" ht="85.5" customHeight="1" s="8">
      <c r="A8" s="11" t="inlineStr">
        <is>
          <t>IDSUBJECT</t>
        </is>
      </c>
      <c r="B8" s="11" t="inlineStr">
        <is>
          <t>INT</t>
        </is>
      </c>
      <c r="C8" s="11" t="n"/>
      <c r="D8" s="11" t="n"/>
      <c r="E8" s="11" t="inlineStr">
        <is>
          <t>min_value=1; max_value=20000000</t>
        </is>
      </c>
      <c r="F8" s="11" t="n"/>
      <c r="G8" s="12">
        <f>IF($F8&lt;&gt;"","Для foreign_key допустим только null_ratio=0..1. Остальные generator constraints запрещены.",IFERROR(VLOOKUP($B8,'Constant List'!$A$2:$B$7,2,FALSE),"Тип данных не заполнен"))</f>
        <v/>
      </c>
      <c r="H8" s="12">
        <f>'Constant List'!$J$2</f>
        <v/>
      </c>
    </row>
  </sheetData>
  <dataValidations count="3">
    <dataValidation sqref="B2:B8" showDropDown="0" showInputMessage="0" showErrorMessage="0" allowBlank="1" type="list">
      <formula1>GEN_TYPES</formula1>
    </dataValidation>
    <dataValidation sqref="D2:D8" showDropDown="0" showInputMessage="0" showErrorMessage="0" allowBlank="1" type="list">
      <formula1>BOOL_VALUES</formula1>
    </dataValidation>
    <dataValidation sqref="C2:C8" showDropDown="0" showInputMessage="0" showErrorMessage="0" allowBlank="1" type="list">
      <formula1>IF($B2="",GEN_TYPES,INDIRECT("OUTPUT_TYPES_"&amp;$B2))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2026-03-25T11:28:20Z</dcterms:created>
  <dcterms:modified xsi:type="dcterms:W3CDTF">2026-03-26T13:38:44Z</dcterms:modified>
  <cp:lastModifiedBy>Мусин Рашат Канатович</cp:lastModifiedBy>
</cp:coreProperties>
</file>