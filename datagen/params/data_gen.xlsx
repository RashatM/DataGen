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_M1JY5\PycharmProjects\data-gen\datagen\params\"/>
    </mc:Choice>
  </mc:AlternateContent>
  <xr:revisionPtr revIDLastSave="0" documentId="13_ncr:1_{155369F3-2344-44CF-8352-1AADE130CA37}" xr6:coauthVersionLast="36" xr6:coauthVersionMax="36" xr10:uidLastSave="{00000000-0000-0000-0000-000000000000}"/>
  <bookViews>
    <workbookView xWindow="0" yWindow="0" windowWidth="25920" windowHeight="11475" xr2:uid="{00000000-000D-0000-FFFF-FFFF00000000}"/>
  </bookViews>
  <sheets>
    <sheet name="Инструкция" sheetId="1" r:id="rId1"/>
    <sheet name="Constant List" sheetId="2" r:id="rId2"/>
    <sheet name="tables" sheetId="3" r:id="rId3"/>
    <sheet name="test.clients" sheetId="4" r:id="rId4"/>
    <sheet name="test.orders" sheetId="5" r:id="rId5"/>
    <sheet name="test.products" sheetId="6" r:id="rId6"/>
    <sheet name="test.order_items" sheetId="7" r:id="rId7"/>
  </sheets>
  <definedNames>
    <definedName name="BOOL_VALUES">'Constant List'!$H$2:$H$3</definedName>
    <definedName name="GEN_TYPES">'Constant List'!$A$2:$A$7</definedName>
    <definedName name="OUTPUT_TYPES_BOOLEAN">'Constant List'!$R$2:$R$4</definedName>
    <definedName name="OUTPUT_TYPES_DATE">'Constant List'!$P$2:$P$5</definedName>
    <definedName name="OUTPUT_TYPES_FLOAT">'Constant List'!$O$2:$O$4</definedName>
    <definedName name="OUTPUT_TYPES_INT">'Constant List'!$N$2:$N$5</definedName>
    <definedName name="OUTPUT_TYPES_STRING">'Constant List'!$M$2:$M$3</definedName>
    <definedName name="OUTPUT_TYPES_TIMESTAMP">'Constant List'!$Q$2:$Q$5</definedName>
  </definedNames>
  <calcPr calcId="191029"/>
</workbook>
</file>

<file path=xl/calcChain.xml><?xml version="1.0" encoding="utf-8"?>
<calcChain xmlns="http://schemas.openxmlformats.org/spreadsheetml/2006/main">
  <c r="H2" i="4" l="1"/>
  <c r="H5" i="7"/>
  <c r="G5" i="7"/>
  <c r="H4" i="7"/>
  <c r="G4" i="7"/>
  <c r="H3" i="7"/>
  <c r="G3" i="7"/>
  <c r="H2" i="7"/>
  <c r="G2" i="7"/>
  <c r="H5" i="6"/>
  <c r="G5" i="6"/>
  <c r="H4" i="6"/>
  <c r="G4" i="6"/>
  <c r="H3" i="6"/>
  <c r="G3" i="6"/>
  <c r="H2" i="6"/>
  <c r="G2" i="6"/>
  <c r="H6" i="5"/>
  <c r="G6" i="5"/>
  <c r="H5" i="5"/>
  <c r="G5" i="5"/>
  <c r="H4" i="5"/>
  <c r="G4" i="5"/>
  <c r="H3" i="5"/>
  <c r="G3" i="5"/>
  <c r="H2" i="5"/>
  <c r="G2" i="5"/>
  <c r="H6" i="4"/>
  <c r="G6" i="4"/>
  <c r="H5" i="4"/>
  <c r="G5" i="4"/>
  <c r="H4" i="4"/>
  <c r="G4" i="4"/>
  <c r="H3" i="4"/>
  <c r="G3" i="4"/>
  <c r="G2" i="4"/>
</calcChain>
</file>

<file path=xl/sharedStrings.xml><?xml version="1.0" encoding="utf-8"?>
<sst xmlns="http://schemas.openxmlformats.org/spreadsheetml/2006/main" count="245" uniqueCount="155">
  <si>
    <t>Шаблон DataGen: как заполнять Excel</t>
  </si>
  <si>
    <t>Шаг 1</t>
  </si>
  <si>
    <t>На листе tables заполните schema_name, table_name и total_rows.</t>
  </si>
  <si>
    <t>Шаг 2</t>
  </si>
  <si>
    <t>Для каждой строки из tables используйте отдельный лист с именем schema.table.</t>
  </si>
  <si>
    <t>Шаг 3</t>
  </si>
  <si>
    <t>В листе таблицы обязательны column_name и gen_data_type; output_data_type можно оставить пустым.</t>
  </si>
  <si>
    <t>Шаг 4</t>
  </si>
  <si>
    <t>constraints заполняется одной строкой в формате key=value; key=value.</t>
  </si>
  <si>
    <t>Шаг 5</t>
  </si>
  <si>
    <t>allowed_values всегда задается JSON-массивом: ["A", "B"], [1, 2], [true, false].</t>
  </si>
  <si>
    <t>Шаг 6</t>
  </si>
  <si>
    <t>foreign_key тоже задается одной строкой key=value; key=value.</t>
  </si>
  <si>
    <t>Шаг 7</t>
  </si>
  <si>
    <t>Для foreign_key допустим только null_ratio; остальные generator constraints запрещены.</t>
  </si>
  <si>
    <t>Шаг 8</t>
  </si>
  <si>
    <t>Для primary key обязателен null_ratio=0.</t>
  </si>
  <si>
    <t>Шаг 9</t>
  </si>
  <si>
    <t>output_data_type выбирается только из допустимого dropdown по выбранному gen_data_type.</t>
  </si>
  <si>
    <t>Общие колонки</t>
  </si>
  <si>
    <t>column_name</t>
  </si>
  <si>
    <t>Имя итоговой колонки в таблице.</t>
  </si>
  <si>
    <t>gen_data_type</t>
  </si>
  <si>
    <t>Исходный тип генератора: STRING, INT, FLOAT, DATE, TIMESTAMP, BOOLEAN.</t>
  </si>
  <si>
    <t>output_data_type</t>
  </si>
  <si>
    <t>Финальный тип после конвертации; если пусто, результат остается в gen_data_type.</t>
  </si>
  <si>
    <t>is_primary_key</t>
  </si>
  <si>
    <t>TRUE если колонка первичный ключ; тогда значение должно быть уникальным и null_ratio обязан быть 0.</t>
  </si>
  <si>
    <t>constraints</t>
  </si>
  <si>
    <t>Одна строка key=value; key=value с ограничениями для выбранного gen_data_type.</t>
  </si>
  <si>
    <t>foreign_key</t>
  </si>
  <si>
    <t>Одна строка key=value; key=value со ссылкой на родительскую колонку.</t>
  </si>
  <si>
    <t>Общие constraints</t>
  </si>
  <si>
    <t>null_ratio</t>
  </si>
  <si>
    <t>Процент NULL в итоговых данных от 0 до 100.</t>
  </si>
  <si>
    <t>is_unique</t>
  </si>
  <si>
    <t>Требует уникальные итоговые значения после всех конвертаций.</t>
  </si>
  <si>
    <t>allowed_values</t>
  </si>
  <si>
    <t>Ограничивает генерацию только указанным списком значений; задается только JSON-массивом.</t>
  </si>
  <si>
    <t>STRING constraints</t>
  </si>
  <si>
    <t>length</t>
  </si>
  <si>
    <t>Фиксированная длина строки.</t>
  </si>
  <si>
    <t>character_set</t>
  </si>
  <si>
    <t>Набор символов: letters = только буквы, digits = только цифры, alphanumeric = буквы и цифры.</t>
  </si>
  <si>
    <t>case_mode</t>
  </si>
  <si>
    <t>Регистр строки: mixed = смешанный регистр, lower = только нижний регистр, upper = только верхний регистр.</t>
  </si>
  <si>
    <t>regular_expr</t>
  </si>
  <si>
    <t>Regex-шаблон, которому должна соответствовать строка.</t>
  </si>
  <si>
    <t>INT / FLOAT constraints</t>
  </si>
  <si>
    <t>min_value</t>
  </si>
  <si>
    <t>Минимальное числовое значение для INT или FLOAT.</t>
  </si>
  <si>
    <t>max_value</t>
  </si>
  <si>
    <t>Максимальное числовое значение для INT или FLOAT.</t>
  </si>
  <si>
    <t>precision</t>
  </si>
  <si>
    <t>Количество знаков после запятой; используется только для FLOAT.</t>
  </si>
  <si>
    <t>DATE constraints</t>
  </si>
  <si>
    <t>Минимальная дата; задается строкой, которую можно распарсить как дату.</t>
  </si>
  <si>
    <t>Максимальная дата; задается строкой, которую можно распарсить как дату.</t>
  </si>
  <si>
    <t>date_format</t>
  </si>
  <si>
    <t>Формат текстового вывода даты, например %Y-%m-%d; обычно используется вместе с output_data_type=STRING.</t>
  </si>
  <si>
    <t>TIMESTAMP constraints</t>
  </si>
  <si>
    <t>min_timestamp</t>
  </si>
  <si>
    <t>Минимальный timestamp в формате строки, например 2024-01-01 00:00:00.</t>
  </si>
  <si>
    <t>max_timestamp</t>
  </si>
  <si>
    <t>Максимальный timestamp в формате строки, например 2024-12-31 23:59:59.</t>
  </si>
  <si>
    <t>timestamp_format</t>
  </si>
  <si>
    <t>Формат текстового вывода timestamp, например %Y-%m-%d %H:%M:%S.</t>
  </si>
  <si>
    <t>BOOLEAN constraints</t>
  </si>
  <si>
    <t>Обычно [true, false], но можно ограничить, например, только [true].</t>
  </si>
  <si>
    <t>Foreign Key</t>
  </si>
  <si>
    <t>Формат: schema_name="test"; table_name="clients"; column_name="id"; relation_type="ONE_TO_MANY".</t>
  </si>
  <si>
    <t>relation_type</t>
  </si>
  <si>
    <t>ONE_TO_MANY = много дочерних строк могут ссылаться на одного родителя; ONE_TO_ONE = ссылка должна быть уникальной.</t>
  </si>
  <si>
    <t>Ограничение</t>
  </si>
  <si>
    <t>Если указан foreign_key, из generator constraints допустим только null_ratio.</t>
  </si>
  <si>
    <t>Разрешенные output_data_type</t>
  </si>
  <si>
    <t>STRING</t>
  </si>
  <si>
    <t>STRING, INT</t>
  </si>
  <si>
    <t>INT</t>
  </si>
  <si>
    <t>INT, FLOAT, STRING, BOOLEAN</t>
  </si>
  <si>
    <t>FLOAT</t>
  </si>
  <si>
    <t>FLOAT, STRING, INT</t>
  </si>
  <si>
    <t>DATE</t>
  </si>
  <si>
    <t>DATE, STRING, INT, TIMESTAMP</t>
  </si>
  <si>
    <t>TIMESTAMP</t>
  </si>
  <si>
    <t>TIMESTAMP, STRING, INT, DATE</t>
  </si>
  <si>
    <t>BOOLEAN</t>
  </si>
  <si>
    <t>BOOLEAN, STRING, INT</t>
  </si>
  <si>
    <t>Data Type</t>
  </si>
  <si>
    <t>Constraint Hint</t>
  </si>
  <si>
    <t>Bool</t>
  </si>
  <si>
    <t>Foreign Key Example</t>
  </si>
  <si>
    <t>OUTPUT_TYPES_STRING</t>
  </si>
  <si>
    <t>OUTPUT_TYPES_INT</t>
  </si>
  <si>
    <t>OUTPUT_TYPES_FLOAT</t>
  </si>
  <si>
    <t>OUTPUT_TYPES_DATE</t>
  </si>
  <si>
    <t>OUTPUT_TYPES_TIMESTAMP</t>
  </si>
  <si>
    <t>OUTPUT_TYPES_BOOLEAN</t>
  </si>
  <si>
    <t>TRUE</t>
  </si>
  <si>
    <t>FALSE</t>
  </si>
  <si>
    <t>source_type</t>
  </si>
  <si>
    <t>source_name</t>
  </si>
  <si>
    <t>json</t>
  </si>
  <si>
    <t>example_source</t>
  </si>
  <si>
    <t>schema_name</t>
  </si>
  <si>
    <t>table_name</t>
  </si>
  <si>
    <t>total_rows</t>
  </si>
  <si>
    <t>test</t>
  </si>
  <si>
    <t>clients</t>
  </si>
  <si>
    <t>orders</t>
  </si>
  <si>
    <t>products</t>
  </si>
  <si>
    <t>order_items</t>
  </si>
  <si>
    <t>Подсказка по constraints</t>
  </si>
  <si>
    <t>Пример заполнения foreign_key</t>
  </si>
  <si>
    <t>id</t>
  </si>
  <si>
    <t>null_ratio=0; is_unique=true; min_value=1; max_value=1000</t>
  </si>
  <si>
    <t>ext_id</t>
  </si>
  <si>
    <t>null_ratio=0; is_unique=true; length=10; character_set="digits"; case_mode="mixed"</t>
  </si>
  <si>
    <t>name</t>
  </si>
  <si>
    <t>null_ratio=0; length=12; character_set="letters"; case_mode="upper"</t>
  </si>
  <si>
    <t>segment</t>
  </si>
  <si>
    <t>null_ratio=10; allowed_values=["VIP", "STANDARD", "NEW"]</t>
  </si>
  <si>
    <t>is_active</t>
  </si>
  <si>
    <t>null_ratio=0; allowed_values=[true, false]</t>
  </si>
  <si>
    <t>null_ratio=0; is_unique=true; min_value=1; max_value=10000</t>
  </si>
  <si>
    <t>client_id</t>
  </si>
  <si>
    <t>null_ratio=0</t>
  </si>
  <si>
    <t>schema_name="test"; table_name="clients"; column_name="id"; relation_type="ONE_TO_MANY"</t>
  </si>
  <si>
    <t>order_date</t>
  </si>
  <si>
    <t>null_ratio=0; min_value="2024-01-01"; max_value="2024-12-31"; date_format="%Y%m%d"</t>
  </si>
  <si>
    <t>status</t>
  </si>
  <si>
    <t>null_ratio=0; allowed_values=["IN_PROCESSING", "DELIVERED", "CANCELLED"]</t>
  </si>
  <si>
    <t>created_at</t>
  </si>
  <si>
    <t>null_ratio=0; min_timestamp="2024-01-01 00:00:00"; max_timestamp="2024-12-31 23:59:59"; timestamp_format="%Y-%m-%d %H:%M:%S"</t>
  </si>
  <si>
    <t>null_ratio=0; is_unique=true; min_value=1; max_value=5000</t>
  </si>
  <si>
    <t>price</t>
  </si>
  <si>
    <t>null_ratio=0; min_value=150.15; max_value=999.25; precision=2</t>
  </si>
  <si>
    <t>category</t>
  </si>
  <si>
    <t>null_ratio=0; allowed_values=["A", "B", "C"]</t>
  </si>
  <si>
    <t>sku</t>
  </si>
  <si>
    <t>null_ratio=0; is_unique=true; length=8; character_set="alphanumeric"; case_mode="upper"</t>
  </si>
  <si>
    <t>null_ratio=0; is_unique=true; min_value=1; max_value=50000</t>
  </si>
  <si>
    <t>order_id</t>
  </si>
  <si>
    <t>schema_name="test"; table_name="orders"; column_name="id"; relation_type="ONE_TO_MANY"</t>
  </si>
  <si>
    <t>product_id</t>
  </si>
  <si>
    <t>schema_name="test"; table_name="products"; column_name="id"; relation_type="ONE_TO_MANY"</t>
  </si>
  <si>
    <t>quantity</t>
  </si>
  <si>
    <t>null_ratio=0; min_value=1; max_value=50</t>
  </si>
  <si>
    <t>Формат constraints: 
null_ratio=0..1; 
is_unique=true/false; 
allowed_values=["A", "B"]; 
length=10; 
character_set="letters|digits|alphanumeric"; 
case_mode="mixed|lower|upper"; 
regular_expr="^[A-Z0-9]{6}$"</t>
  </si>
  <si>
    <t>Формат constraints: 
null_ratio=0..1; 
is_unique=true/false; 
allowed_values=[1, 2, 3];
min_value=0; 
max_value=1000</t>
  </si>
  <si>
    <t>Формат constraints:
null_ratio=0..1; 
is_unique=true/false; 
allowed_values=[10.5, 20.25]; 
min_value=0.0; 
max_value=1000.0; 
precision=2</t>
  </si>
  <si>
    <t>Формат constraints: 
null_ratio=0..1; 
is_unique=true/false; 
allowed_values=["2024-01-01", "2024-01-02"]; 
min_value="2024-01-01"; 
max_value="2024-12-31"; 
date_format="%Y-%m-%d"</t>
  </si>
  <si>
    <t>Формат constraints: 
null_ratio=0..1; 
is_unique=true/false; 
allowed_values=["2024-01-01 00:00:00", "2024-01-01 00:01:00"]; 
min_timestamp="2024-01-01 00:00:00"; 
max_timestamp="2024-12-31 23:59:59"; 
timestamp_format="%Y-%m-%d %H:%M:%S"</t>
  </si>
  <si>
    <t>Формат constraints: 
null_ratio=0..1; 
is_unique=true/false; 
allowed_values=[true, false]</t>
  </si>
  <si>
    <t>schema_name="test"; 
table_name="clients"; 
column_name="id"; 
relation_type="ONE_TO_MANY|ONE_TO_ONE"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</si>
</sst>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color rgb="FFFFFFFF"/>
      <name val="Calibri"/>
    </font>
    <font>
      <b/>
      <sz val="11"/>
      <color rgb="FF1F1F1F"/>
      <name val="Calibri"/>
    </font>
    <font>
      <sz val="11"/>
      <color rgb="FF1F1F1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color rgb="FF385723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00B050"/>
      </patternFill>
    </fill>
    <fill>
      <patternFill patternType="solid">
        <fgColor rgb="FFF3FBF1"/>
      </patternFill>
    </fill>
    <fill>
      <patternFill patternType="solid">
        <fgColor rgb="FFE2F0D9"/>
      </patternFill>
    </fill>
  </fills>
  <borders count="4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0" fontId="3" fillId="6" borderId="2" xfId="0" applyFont="1" applyFill="1" applyBorder="1" applyAlignment="1">
      <alignment vertical="top" wrapText="1"/>
    </xf>
    <xf numFmtId="0" fontId="4" fillId="7" borderId="2" xfId="0" applyFont="1" applyFill="1" applyBorder="1" applyAlignment="1">
      <alignment vertical="top" wrapText="1"/>
    </xf>
    <xf numFmtId="0" fontId="5" fillId="5" borderId="2" xfId="0" applyFont="1" applyFill="1" applyBorder="1" applyAlignment="1">
      <alignment vertical="top" wrapText="1"/>
    </xf>
    <xf numFmtId="0" fontId="2" fillId="5" borderId="2" xfId="0" applyFont="1" applyFill="1" applyBorder="1" applyAlignment="1">
      <alignment horizontal="center" vertical="center" wrapText="1"/>
    </xf>
    <xf numFmtId="0" fontId="0" fillId="0" borderId="0" xfId="0"/>
    <xf numFmtId="0" fontId="1" fillId="4" borderId="3" xfId="0" applyFont="1" applyFill="1" applyBorder="1" applyAlignment="1">
      <alignment vertical="top" wrapText="1"/>
    </xf>
    <xf numFmtId="0" fontId="6" fillId="5" borderId="3" xfId="0" applyFont="1" applyFill="1" applyBorder="1" applyAlignment="1">
      <alignment horizontal="center" vertical="center" wrapText="1"/>
    </xf>
    <xf numFmtId="0" fontId="0" fillId="3" borderId="3" xfId="0" applyFill="1" applyBorder="1" applyAlignment="1">
      <alignment vertical="top" wrapText="1"/>
    </xf>
    <xf numFmtId="0" fontId="7" fillId="7" borderId="3" xfId="0" applyFont="1" applyFill="1" applyBorder="1" applyAlignment="1">
      <alignment vertical="top" wrapText="1"/>
    </xf>
    <xf numFmtId="0" fontId="0" fillId="0" borderId="0" xfId="0" applyAlignment="1">
      <alignment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1"/>
  <sheetViews>
    <sheetView tabSelected="1" workbookViewId="0">
      <selection sqref="A1:B1"/>
    </sheetView>
  </sheetViews>
  <sheetFormatPr defaultRowHeight="14.25" x14ac:dyDescent="0.45"/>
  <cols>
    <col min="1" max="1" width="34" customWidth="1"/>
    <col min="2" max="2" width="120" customWidth="1"/>
  </cols>
  <sheetData>
    <row r="1" spans="1:2" ht="26" customHeight="1" x14ac:dyDescent="0.45">
      <c r="A1" s="7" t="s">
        <v>0</v>
      </c>
      <c r="B1" s="8"/>
    </row>
    <row r="2" spans="1:2" ht="10.050000000000001" customHeight="1" x14ac:dyDescent="0.45"/>
    <row r="3" spans="1:2" ht="22.05" customHeight="1" x14ac:dyDescent="0.45">
      <c r="A3" s="4" t="s">
        <v>1</v>
      </c>
      <c r="B3" s="5" t="s">
        <v>2</v>
      </c>
    </row>
    <row r="4" spans="1:2" ht="22.05" customHeight="1" x14ac:dyDescent="0.45">
      <c r="A4" s="4" t="s">
        <v>3</v>
      </c>
      <c r="B4" s="5" t="s">
        <v>4</v>
      </c>
    </row>
    <row r="5" spans="1:2" ht="30" customHeight="1" x14ac:dyDescent="0.45">
      <c r="A5" s="4" t="s">
        <v>5</v>
      </c>
      <c r="B5" s="5" t="s">
        <v>6</v>
      </c>
    </row>
    <row r="6" spans="1:2" ht="22.05" customHeight="1" x14ac:dyDescent="0.45">
      <c r="A6" s="4" t="s">
        <v>7</v>
      </c>
      <c r="B6" s="5" t="s">
        <v>8</v>
      </c>
    </row>
    <row r="7" spans="1:2" ht="22.05" customHeight="1" x14ac:dyDescent="0.45">
      <c r="A7" s="4" t="s">
        <v>9</v>
      </c>
      <c r="B7" s="5" t="s">
        <v>10</v>
      </c>
    </row>
    <row r="8" spans="1:2" ht="22.05" customHeight="1" x14ac:dyDescent="0.45">
      <c r="A8" s="4" t="s">
        <v>11</v>
      </c>
      <c r="B8" s="5" t="s">
        <v>12</v>
      </c>
    </row>
    <row r="9" spans="1:2" ht="30" customHeight="1" x14ac:dyDescent="0.45">
      <c r="A9" s="4" t="s">
        <v>13</v>
      </c>
      <c r="B9" s="5" t="s">
        <v>14</v>
      </c>
    </row>
    <row r="10" spans="1:2" ht="22.05" customHeight="1" x14ac:dyDescent="0.45">
      <c r="A10" s="4" t="s">
        <v>15</v>
      </c>
      <c r="B10" s="5" t="s">
        <v>16</v>
      </c>
    </row>
    <row r="11" spans="1:2" ht="30" customHeight="1" x14ac:dyDescent="0.45">
      <c r="A11" s="4" t="s">
        <v>17</v>
      </c>
      <c r="B11" s="5" t="s">
        <v>18</v>
      </c>
    </row>
    <row r="12" spans="1:2" ht="10.050000000000001" customHeight="1" x14ac:dyDescent="0.45"/>
    <row r="13" spans="1:2" ht="24" customHeight="1" x14ac:dyDescent="0.45">
      <c r="A13" s="6" t="s">
        <v>19</v>
      </c>
      <c r="B13" s="6"/>
    </row>
    <row r="14" spans="1:2" ht="22.05" customHeight="1" x14ac:dyDescent="0.45">
      <c r="A14" s="4" t="s">
        <v>20</v>
      </c>
      <c r="B14" s="5" t="s">
        <v>21</v>
      </c>
    </row>
    <row r="15" spans="1:2" ht="22.05" customHeight="1" x14ac:dyDescent="0.45">
      <c r="A15" s="4" t="s">
        <v>22</v>
      </c>
      <c r="B15" s="5" t="s">
        <v>23</v>
      </c>
    </row>
    <row r="16" spans="1:2" ht="22.05" customHeight="1" x14ac:dyDescent="0.45">
      <c r="A16" s="4" t="s">
        <v>24</v>
      </c>
      <c r="B16" s="5" t="s">
        <v>25</v>
      </c>
    </row>
    <row r="17" spans="1:2" ht="30" customHeight="1" x14ac:dyDescent="0.45">
      <c r="A17" s="4" t="s">
        <v>26</v>
      </c>
      <c r="B17" s="5" t="s">
        <v>27</v>
      </c>
    </row>
    <row r="18" spans="1:2" ht="22.05" customHeight="1" x14ac:dyDescent="0.45">
      <c r="A18" s="4" t="s">
        <v>28</v>
      </c>
      <c r="B18" s="5" t="s">
        <v>29</v>
      </c>
    </row>
    <row r="19" spans="1:2" ht="22.05" customHeight="1" x14ac:dyDescent="0.45">
      <c r="A19" s="4" t="s">
        <v>30</v>
      </c>
      <c r="B19" s="5" t="s">
        <v>31</v>
      </c>
    </row>
    <row r="20" spans="1:2" ht="10.050000000000001" customHeight="1" x14ac:dyDescent="0.45"/>
    <row r="21" spans="1:2" ht="24" customHeight="1" x14ac:dyDescent="0.45">
      <c r="A21" s="6" t="s">
        <v>32</v>
      </c>
      <c r="B21" s="6"/>
    </row>
    <row r="22" spans="1:2" ht="22.05" customHeight="1" x14ac:dyDescent="0.45">
      <c r="A22" s="4" t="s">
        <v>33</v>
      </c>
      <c r="B22" s="5" t="s">
        <v>34</v>
      </c>
    </row>
    <row r="23" spans="1:2" ht="22.05" customHeight="1" x14ac:dyDescent="0.45">
      <c r="A23" s="4" t="s">
        <v>35</v>
      </c>
      <c r="B23" s="5" t="s">
        <v>36</v>
      </c>
    </row>
    <row r="24" spans="1:2" ht="30" customHeight="1" x14ac:dyDescent="0.45">
      <c r="A24" s="4" t="s">
        <v>37</v>
      </c>
      <c r="B24" s="5" t="s">
        <v>38</v>
      </c>
    </row>
    <row r="25" spans="1:2" ht="10.050000000000001" customHeight="1" x14ac:dyDescent="0.45"/>
    <row r="26" spans="1:2" ht="24" customHeight="1" x14ac:dyDescent="0.45">
      <c r="A26" s="6" t="s">
        <v>39</v>
      </c>
      <c r="B26" s="6"/>
    </row>
    <row r="27" spans="1:2" ht="22.05" customHeight="1" x14ac:dyDescent="0.45">
      <c r="A27" s="4" t="s">
        <v>40</v>
      </c>
      <c r="B27" s="5" t="s">
        <v>41</v>
      </c>
    </row>
    <row r="28" spans="1:2" ht="30" customHeight="1" x14ac:dyDescent="0.45">
      <c r="A28" s="4" t="s">
        <v>42</v>
      </c>
      <c r="B28" s="5" t="s">
        <v>43</v>
      </c>
    </row>
    <row r="29" spans="1:2" ht="30" customHeight="1" x14ac:dyDescent="0.45">
      <c r="A29" s="4" t="s">
        <v>44</v>
      </c>
      <c r="B29" s="5" t="s">
        <v>45</v>
      </c>
    </row>
    <row r="30" spans="1:2" ht="22.05" customHeight="1" x14ac:dyDescent="0.45">
      <c r="A30" s="4" t="s">
        <v>46</v>
      </c>
      <c r="B30" s="5" t="s">
        <v>47</v>
      </c>
    </row>
    <row r="31" spans="1:2" ht="10.050000000000001" customHeight="1" x14ac:dyDescent="0.45"/>
    <row r="32" spans="1:2" ht="24" customHeight="1" x14ac:dyDescent="0.45">
      <c r="A32" s="6" t="s">
        <v>48</v>
      </c>
      <c r="B32" s="6"/>
    </row>
    <row r="33" spans="1:2" ht="22.05" customHeight="1" x14ac:dyDescent="0.45">
      <c r="A33" s="4" t="s">
        <v>49</v>
      </c>
      <c r="B33" s="5" t="s">
        <v>50</v>
      </c>
    </row>
    <row r="34" spans="1:2" ht="22.05" customHeight="1" x14ac:dyDescent="0.45">
      <c r="A34" s="4" t="s">
        <v>51</v>
      </c>
      <c r="B34" s="5" t="s">
        <v>52</v>
      </c>
    </row>
    <row r="35" spans="1:2" ht="22.05" customHeight="1" x14ac:dyDescent="0.45">
      <c r="A35" s="4" t="s">
        <v>53</v>
      </c>
      <c r="B35" s="5" t="s">
        <v>54</v>
      </c>
    </row>
    <row r="36" spans="1:2" ht="10.050000000000001" customHeight="1" x14ac:dyDescent="0.45"/>
    <row r="37" spans="1:2" ht="24" customHeight="1" x14ac:dyDescent="0.45">
      <c r="A37" s="6" t="s">
        <v>55</v>
      </c>
      <c r="B37" s="6"/>
    </row>
    <row r="38" spans="1:2" ht="22.05" customHeight="1" x14ac:dyDescent="0.45">
      <c r="A38" s="4" t="s">
        <v>49</v>
      </c>
      <c r="B38" s="5" t="s">
        <v>56</v>
      </c>
    </row>
    <row r="39" spans="1:2" ht="22.05" customHeight="1" x14ac:dyDescent="0.45">
      <c r="A39" s="4" t="s">
        <v>51</v>
      </c>
      <c r="B39" s="5" t="s">
        <v>57</v>
      </c>
    </row>
    <row r="40" spans="1:2" ht="30" customHeight="1" x14ac:dyDescent="0.45">
      <c r="A40" s="4" t="s">
        <v>58</v>
      </c>
      <c r="B40" s="5" t="s">
        <v>59</v>
      </c>
    </row>
    <row r="41" spans="1:2" ht="10.050000000000001" customHeight="1" x14ac:dyDescent="0.45"/>
    <row r="42" spans="1:2" ht="24" customHeight="1" x14ac:dyDescent="0.45">
      <c r="A42" s="6" t="s">
        <v>60</v>
      </c>
      <c r="B42" s="6"/>
    </row>
    <row r="43" spans="1:2" ht="22.05" customHeight="1" x14ac:dyDescent="0.45">
      <c r="A43" s="4" t="s">
        <v>61</v>
      </c>
      <c r="B43" s="5" t="s">
        <v>62</v>
      </c>
    </row>
    <row r="44" spans="1:2" ht="22.05" customHeight="1" x14ac:dyDescent="0.45">
      <c r="A44" s="4" t="s">
        <v>63</v>
      </c>
      <c r="B44" s="5" t="s">
        <v>64</v>
      </c>
    </row>
    <row r="45" spans="1:2" ht="22.05" customHeight="1" x14ac:dyDescent="0.45">
      <c r="A45" s="4" t="s">
        <v>65</v>
      </c>
      <c r="B45" s="5" t="s">
        <v>66</v>
      </c>
    </row>
    <row r="46" spans="1:2" ht="10.050000000000001" customHeight="1" x14ac:dyDescent="0.45"/>
    <row r="47" spans="1:2" ht="24" customHeight="1" x14ac:dyDescent="0.45">
      <c r="A47" s="6" t="s">
        <v>67</v>
      </c>
      <c r="B47" s="6"/>
    </row>
    <row r="48" spans="1:2" ht="22.05" customHeight="1" x14ac:dyDescent="0.45">
      <c r="A48" s="4" t="s">
        <v>37</v>
      </c>
      <c r="B48" s="5" t="s">
        <v>68</v>
      </c>
    </row>
    <row r="49" spans="1:2" ht="10.050000000000001" customHeight="1" x14ac:dyDescent="0.45"/>
    <row r="50" spans="1:2" ht="24" customHeight="1" x14ac:dyDescent="0.45">
      <c r="A50" s="6" t="s">
        <v>69</v>
      </c>
      <c r="B50" s="6"/>
    </row>
    <row r="51" spans="1:2" ht="30" customHeight="1" x14ac:dyDescent="0.45">
      <c r="A51" s="4" t="s">
        <v>30</v>
      </c>
      <c r="B51" s="5" t="s">
        <v>70</v>
      </c>
    </row>
    <row r="52" spans="1:2" ht="36" customHeight="1" x14ac:dyDescent="0.45">
      <c r="A52" s="4" t="s">
        <v>71</v>
      </c>
      <c r="B52" s="5" t="s">
        <v>72</v>
      </c>
    </row>
    <row r="53" spans="1:2" ht="22.05" customHeight="1" x14ac:dyDescent="0.45">
      <c r="A53" s="4" t="s">
        <v>73</v>
      </c>
      <c r="B53" s="5" t="s">
        <v>74</v>
      </c>
    </row>
    <row r="54" spans="1:2" ht="10.050000000000001" customHeight="1" x14ac:dyDescent="0.45"/>
    <row r="55" spans="1:2" ht="24" customHeight="1" x14ac:dyDescent="0.45">
      <c r="A55" s="6" t="s">
        <v>75</v>
      </c>
      <c r="B55" s="6"/>
    </row>
    <row r="56" spans="1:2" ht="22.05" customHeight="1" x14ac:dyDescent="0.45">
      <c r="A56" s="4" t="s">
        <v>76</v>
      </c>
      <c r="B56" s="5" t="s">
        <v>77</v>
      </c>
    </row>
    <row r="57" spans="1:2" ht="22.05" customHeight="1" x14ac:dyDescent="0.45">
      <c r="A57" s="4" t="s">
        <v>78</v>
      </c>
      <c r="B57" s="5" t="s">
        <v>79</v>
      </c>
    </row>
    <row r="58" spans="1:2" ht="22.05" customHeight="1" x14ac:dyDescent="0.45">
      <c r="A58" s="4" t="s">
        <v>80</v>
      </c>
      <c r="B58" s="5" t="s">
        <v>81</v>
      </c>
    </row>
    <row r="59" spans="1:2" ht="22.05" customHeight="1" x14ac:dyDescent="0.45">
      <c r="A59" s="4" t="s">
        <v>82</v>
      </c>
      <c r="B59" s="5" t="s">
        <v>83</v>
      </c>
    </row>
    <row r="60" spans="1:2" ht="22.05" customHeight="1" x14ac:dyDescent="0.45">
      <c r="A60" s="4" t="s">
        <v>84</v>
      </c>
      <c r="B60" s="5" t="s">
        <v>85</v>
      </c>
    </row>
    <row r="61" spans="1:2" ht="22.05" customHeight="1" x14ac:dyDescent="0.45">
      <c r="A61" s="4" t="s">
        <v>86</v>
      </c>
      <c r="B61" s="5" t="s">
        <v>87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"/>
  <sheetViews>
    <sheetView workbookViewId="0">
      <selection activeCell="B2" sqref="B2"/>
    </sheetView>
  </sheetViews>
  <sheetFormatPr defaultRowHeight="14.25" x14ac:dyDescent="0.45"/>
  <cols>
    <col min="2" max="2" width="63.265625" customWidth="1"/>
    <col min="10" max="10" width="24.06640625" customWidth="1"/>
  </cols>
  <sheetData>
    <row r="1" spans="1:18" x14ac:dyDescent="0.45">
      <c r="A1" t="s">
        <v>88</v>
      </c>
      <c r="B1" t="s">
        <v>89</v>
      </c>
      <c r="H1" t="s">
        <v>90</v>
      </c>
      <c r="J1" t="s">
        <v>91</v>
      </c>
      <c r="M1" t="s">
        <v>92</v>
      </c>
      <c r="N1" t="s">
        <v>93</v>
      </c>
      <c r="O1" t="s">
        <v>94</v>
      </c>
      <c r="P1" t="s">
        <v>95</v>
      </c>
      <c r="Q1" t="s">
        <v>96</v>
      </c>
      <c r="R1" t="s">
        <v>97</v>
      </c>
    </row>
    <row r="2" spans="1:18" ht="114" x14ac:dyDescent="0.45">
      <c r="A2" t="s">
        <v>76</v>
      </c>
      <c r="B2" s="13" t="s">
        <v>148</v>
      </c>
      <c r="H2" t="s">
        <v>98</v>
      </c>
      <c r="J2" s="13" t="s">
        <v>154</v>
      </c>
      <c r="M2" t="s">
        <v>76</v>
      </c>
      <c r="N2" t="s">
        <v>78</v>
      </c>
      <c r="O2" t="s">
        <v>80</v>
      </c>
      <c r="P2" t="s">
        <v>82</v>
      </c>
      <c r="Q2" t="s">
        <v>84</v>
      </c>
      <c r="R2" t="s">
        <v>86</v>
      </c>
    </row>
    <row r="3" spans="1:18" ht="85.5" x14ac:dyDescent="0.45">
      <c r="A3" t="s">
        <v>78</v>
      </c>
      <c r="B3" s="13" t="s">
        <v>149</v>
      </c>
      <c r="H3" t="s">
        <v>99</v>
      </c>
      <c r="M3" t="s">
        <v>78</v>
      </c>
      <c r="N3" t="s">
        <v>80</v>
      </c>
      <c r="O3" t="s">
        <v>76</v>
      </c>
      <c r="P3" t="s">
        <v>76</v>
      </c>
      <c r="Q3" t="s">
        <v>76</v>
      </c>
      <c r="R3" t="s">
        <v>76</v>
      </c>
    </row>
    <row r="4" spans="1:18" ht="99.75" x14ac:dyDescent="0.45">
      <c r="A4" t="s">
        <v>80</v>
      </c>
      <c r="B4" s="13" t="s">
        <v>150</v>
      </c>
      <c r="N4" t="s">
        <v>76</v>
      </c>
      <c r="O4" t="s">
        <v>78</v>
      </c>
      <c r="P4" t="s">
        <v>78</v>
      </c>
      <c r="Q4" t="s">
        <v>78</v>
      </c>
      <c r="R4" t="s">
        <v>78</v>
      </c>
    </row>
    <row r="5" spans="1:18" ht="99.75" x14ac:dyDescent="0.45">
      <c r="A5" t="s">
        <v>82</v>
      </c>
      <c r="B5" s="13" t="s">
        <v>151</v>
      </c>
      <c r="N5" t="s">
        <v>86</v>
      </c>
      <c r="P5" t="s">
        <v>84</v>
      </c>
      <c r="Q5" t="s">
        <v>82</v>
      </c>
    </row>
    <row r="6" spans="1:18" ht="99.75" x14ac:dyDescent="0.45">
      <c r="A6" t="s">
        <v>84</v>
      </c>
      <c r="B6" s="13" t="s">
        <v>152</v>
      </c>
    </row>
    <row r="7" spans="1:18" ht="57" x14ac:dyDescent="0.45">
      <c r="A7" t="s">
        <v>86</v>
      </c>
      <c r="B7" s="13" t="s">
        <v>153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"/>
  <sheetViews>
    <sheetView workbookViewId="0">
      <pane ySplit="6" topLeftCell="A7" activePane="bottomLeft" state="frozen"/>
      <selection pane="bottomLeft"/>
    </sheetView>
  </sheetViews>
  <sheetFormatPr defaultRowHeight="14.25" x14ac:dyDescent="0.45"/>
  <cols>
    <col min="1" max="2" width="18" customWidth="1"/>
    <col min="3" max="3" width="12" customWidth="1"/>
  </cols>
  <sheetData>
    <row r="1" spans="1:3" x14ac:dyDescent="0.45">
      <c r="A1" s="1" t="s">
        <v>100</v>
      </c>
      <c r="B1" s="1" t="s">
        <v>101</v>
      </c>
    </row>
    <row r="2" spans="1:3" x14ac:dyDescent="0.45">
      <c r="A2" s="2" t="s">
        <v>102</v>
      </c>
      <c r="B2" s="2" t="s">
        <v>103</v>
      </c>
    </row>
    <row r="6" spans="1:3" ht="24" customHeight="1" x14ac:dyDescent="0.45">
      <c r="A6" s="3" t="s">
        <v>104</v>
      </c>
      <c r="B6" s="3" t="s">
        <v>105</v>
      </c>
      <c r="C6" s="3" t="s">
        <v>106</v>
      </c>
    </row>
    <row r="7" spans="1:3" x14ac:dyDescent="0.45">
      <c r="A7" s="2" t="s">
        <v>107</v>
      </c>
      <c r="B7" s="2" t="s">
        <v>108</v>
      </c>
      <c r="C7" s="2">
        <v>100</v>
      </c>
    </row>
    <row r="8" spans="1:3" x14ac:dyDescent="0.45">
      <c r="A8" s="2" t="s">
        <v>107</v>
      </c>
      <c r="B8" s="2" t="s">
        <v>109</v>
      </c>
      <c r="C8" s="2">
        <v>300</v>
      </c>
    </row>
    <row r="9" spans="1:3" x14ac:dyDescent="0.45">
      <c r="A9" s="2" t="s">
        <v>107</v>
      </c>
      <c r="B9" s="2" t="s">
        <v>110</v>
      </c>
      <c r="C9" s="2">
        <v>50</v>
      </c>
    </row>
    <row r="10" spans="1:3" x14ac:dyDescent="0.45">
      <c r="A10" s="2" t="s">
        <v>107</v>
      </c>
      <c r="B10" s="2" t="s">
        <v>111</v>
      </c>
      <c r="C10" s="2">
        <v>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"/>
  <sheetViews>
    <sheetView workbookViewId="0">
      <pane ySplit="1" topLeftCell="A2" activePane="bottomLeft" state="frozen"/>
      <selection pane="bottomLeft" activeCell="H1" sqref="H1"/>
    </sheetView>
  </sheetViews>
  <sheetFormatPr defaultRowHeight="14.25" x14ac:dyDescent="0.45"/>
  <cols>
    <col min="1" max="1" width="12.33203125" bestFit="1" customWidth="1"/>
    <col min="2" max="2" width="12.9296875" bestFit="1" customWidth="1"/>
    <col min="3" max="3" width="15.53125" bestFit="1" customWidth="1"/>
    <col min="4" max="4" width="13.1328125" bestFit="1" customWidth="1"/>
    <col min="5" max="5" width="20.46484375" customWidth="1"/>
    <col min="6" max="6" width="20.59765625" customWidth="1"/>
    <col min="7" max="7" width="38.06640625" customWidth="1"/>
    <col min="8" max="8" width="39.6640625" customWidth="1"/>
  </cols>
  <sheetData>
    <row r="1" spans="1:8" ht="30" customHeight="1" x14ac:dyDescent="0.45">
      <c r="A1" s="9" t="s">
        <v>20</v>
      </c>
      <c r="B1" s="9" t="s">
        <v>22</v>
      </c>
      <c r="C1" s="9" t="s">
        <v>24</v>
      </c>
      <c r="D1" s="9" t="s">
        <v>26</v>
      </c>
      <c r="E1" s="9" t="s">
        <v>28</v>
      </c>
      <c r="F1" s="9" t="s">
        <v>30</v>
      </c>
      <c r="G1" s="10" t="s">
        <v>112</v>
      </c>
      <c r="H1" s="10" t="s">
        <v>113</v>
      </c>
    </row>
    <row r="2" spans="1:8" ht="88.5" customHeight="1" x14ac:dyDescent="0.45">
      <c r="A2" s="11" t="s">
        <v>114</v>
      </c>
      <c r="B2" s="11" t="s">
        <v>78</v>
      </c>
      <c r="C2" s="11"/>
      <c r="D2" s="11" t="b">
        <v>1</v>
      </c>
      <c r="E2" s="11" t="s">
        <v>115</v>
      </c>
      <c r="F2" s="11"/>
      <c r="G2" s="12" t="str">
        <f>IF($F2&lt;&gt;"","Для foreign_key допустим только null_ratio=0..1. Остальные generator constraints запрещены.",IFERROR(VLOOKUP($B2,'Constant List'!$A$2:$B$7,2,FALSE),"Тип данных не заполнен"))</f>
        <v>Формат constraints: 
null_ratio=0..1; 
is_unique=true/false; 
allowed_values=[1, 2, 3];
min_value=0; 
max_value=1000</v>
      </c>
      <c r="H2" s="12" t="str">
        <f>'Constant List'!$J$2</f>
        <v>schema_name="test"; 
table_name="clients"; 
column_name="id"; 
relation_type="ONE_TO_MANY|ONE_TO_ONE"</v>
      </c>
    </row>
    <row r="3" spans="1:8" ht="142.5" x14ac:dyDescent="0.45">
      <c r="A3" s="11" t="s">
        <v>116</v>
      </c>
      <c r="B3" s="11" t="s">
        <v>76</v>
      </c>
      <c r="C3" s="11" t="s">
        <v>78</v>
      </c>
      <c r="D3" s="11"/>
      <c r="E3" s="11" t="s">
        <v>117</v>
      </c>
      <c r="F3" s="11"/>
      <c r="G3" s="12" t="str">
        <f>IF($F3&lt;&gt;"","Для foreign_key допустим только null_ratio=0..1. Остальные generator constraints запрещены.",IFERROR(VLOOKUP($B3,'Constant List'!$A$2:$B$7,2,FALSE),"Тип данных не заполнен"))</f>
        <v>Формат constraints: 
null_ratio=0..1; 
is_unique=true/false; 
allowed_values=["A", "B"]; 
length=10; 
character_set="letters|digits|alphanumeric"; 
case_mode="mixed|lower|upper"; 
regular_expr="^[A-Z0-9]{6}$"</v>
      </c>
      <c r="H3" s="12" t="str">
        <f>'Constant List'!$J$2</f>
        <v>schema_name="test"; 
table_name="clients"; 
column_name="id"; 
relation_type="ONE_TO_MANY|ONE_TO_ONE"</v>
      </c>
    </row>
    <row r="4" spans="1:8" ht="142.5" x14ac:dyDescent="0.45">
      <c r="A4" s="11" t="s">
        <v>118</v>
      </c>
      <c r="B4" s="11" t="s">
        <v>76</v>
      </c>
      <c r="C4" s="11"/>
      <c r="D4" s="11"/>
      <c r="E4" s="11" t="s">
        <v>119</v>
      </c>
      <c r="F4" s="11"/>
      <c r="G4" s="12" t="str">
        <f>IF($F4&lt;&gt;"","Для foreign_key допустим только null_ratio=0..1. Остальные generator constraints запрещены.",IFERROR(VLOOKUP($B4,'Constant List'!$A$2:$B$7,2,FALSE),"Тип данных не заполнен"))</f>
        <v>Формат constraints: 
null_ratio=0..1; 
is_unique=true/false; 
allowed_values=["A", "B"]; 
length=10; 
character_set="letters|digits|alphanumeric"; 
case_mode="mixed|lower|upper"; 
regular_expr="^[A-Z0-9]{6}$"</v>
      </c>
      <c r="H4" s="12" t="str">
        <f>'Constant List'!$J$2</f>
        <v>schema_name="test"; 
table_name="clients"; 
column_name="id"; 
relation_type="ONE_TO_MANY|ONE_TO_ONE"</v>
      </c>
    </row>
    <row r="5" spans="1:8" ht="142.5" x14ac:dyDescent="0.45">
      <c r="A5" s="11" t="s">
        <v>120</v>
      </c>
      <c r="B5" s="11" t="s">
        <v>76</v>
      </c>
      <c r="C5" s="11"/>
      <c r="D5" s="11"/>
      <c r="E5" s="11" t="s">
        <v>121</v>
      </c>
      <c r="F5" s="11"/>
      <c r="G5" s="12" t="str">
        <f>IF($F5&lt;&gt;"","Для foreign_key допустим только null_ratio=0..1. Остальные generator constraints запрещены.",IFERROR(VLOOKUP($B5,'Constant List'!$A$2:$B$7,2,FALSE),"Тип данных не заполнен"))</f>
        <v>Формат constraints: 
null_ratio=0..1; 
is_unique=true/false; 
allowed_values=["A", "B"]; 
length=10; 
character_set="letters|digits|alphanumeric"; 
case_mode="mixed|lower|upper"; 
regular_expr="^[A-Z0-9]{6}$"</v>
      </c>
      <c r="H5" s="12" t="str">
        <f>'Constant List'!$J$2</f>
        <v>schema_name="test"; 
table_name="clients"; 
column_name="id"; 
relation_type="ONE_TO_MANY|ONE_TO_ONE"</v>
      </c>
    </row>
    <row r="6" spans="1:8" ht="71.25" x14ac:dyDescent="0.45">
      <c r="A6" s="11" t="s">
        <v>122</v>
      </c>
      <c r="B6" s="11" t="s">
        <v>86</v>
      </c>
      <c r="C6" s="11" t="s">
        <v>78</v>
      </c>
      <c r="D6" s="11"/>
      <c r="E6" s="11" t="s">
        <v>123</v>
      </c>
      <c r="F6" s="11"/>
      <c r="G6" s="12" t="str">
        <f>IF($F6&lt;&gt;"","Для foreign_key допустим только null_ratio=0..1. Остальные generator constraints запрещены.",IFERROR(VLOOKUP($B6,'Constant List'!$A$2:$B$7,2,FALSE),"Тип данных не заполнен"))</f>
        <v>Формат constraints: 
null_ratio=0..1; 
is_unique=true/false; 
allowed_values=[true, false]</v>
      </c>
      <c r="H6" s="12" t="str">
        <f>'Constant List'!$J$2</f>
        <v>schema_name="test"; 
table_name="clients"; 
column_name="id"; 
relation_type="ONE_TO_MANY|ONE_TO_ONE"</v>
      </c>
    </row>
  </sheetData>
  <dataValidations count="3">
    <dataValidation type="list" allowBlank="1" sqref="B2:B6" xr:uid="{00000000-0002-0000-0300-000000000000}">
      <formula1>GEN_TYPES</formula1>
    </dataValidation>
    <dataValidation type="list" allowBlank="1" sqref="D2:D6" xr:uid="{00000000-0002-0000-0300-000002000000}">
      <formula1>BOOL_VALUES</formula1>
    </dataValidation>
    <dataValidation type="list" allowBlank="1" sqref="C2:C6" xr:uid="{00000000-0002-0000-0300-000001000000}">
      <formula1>IF($B2="",GEN_TYPES,INDIRECT("OUTPUT_TYPES_"&amp;$B2))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"/>
  <sheetViews>
    <sheetView workbookViewId="0">
      <pane ySplit="1" topLeftCell="A2" activePane="bottomLeft" state="frozen"/>
      <selection pane="bottomLeft" activeCell="G3" sqref="G3"/>
    </sheetView>
  </sheetViews>
  <sheetFormatPr defaultRowHeight="14.25" x14ac:dyDescent="0.45"/>
  <cols>
    <col min="1" max="1" width="12.33203125" bestFit="1" customWidth="1"/>
    <col min="2" max="2" width="12.9296875" bestFit="1" customWidth="1"/>
    <col min="3" max="3" width="15.53125" bestFit="1" customWidth="1"/>
    <col min="4" max="4" width="13.1328125" bestFit="1" customWidth="1"/>
    <col min="5" max="5" width="21" customWidth="1"/>
    <col min="6" max="6" width="26.33203125" customWidth="1"/>
    <col min="7" max="7" width="57.59765625" customWidth="1"/>
    <col min="8" max="8" width="38.6640625" bestFit="1" customWidth="1"/>
  </cols>
  <sheetData>
    <row r="1" spans="1:8" ht="30" customHeight="1" x14ac:dyDescent="0.45">
      <c r="A1" s="9" t="s">
        <v>20</v>
      </c>
      <c r="B1" s="9" t="s">
        <v>22</v>
      </c>
      <c r="C1" s="9" t="s">
        <v>24</v>
      </c>
      <c r="D1" s="9" t="s">
        <v>26</v>
      </c>
      <c r="E1" s="9" t="s">
        <v>28</v>
      </c>
      <c r="F1" s="9" t="s">
        <v>30</v>
      </c>
      <c r="G1" s="10" t="s">
        <v>112</v>
      </c>
      <c r="H1" s="10" t="s">
        <v>113</v>
      </c>
    </row>
    <row r="2" spans="1:8" ht="85.5" x14ac:dyDescent="0.45">
      <c r="A2" s="11" t="s">
        <v>114</v>
      </c>
      <c r="B2" s="11" t="s">
        <v>78</v>
      </c>
      <c r="C2" s="11"/>
      <c r="D2" s="11" t="b">
        <v>1</v>
      </c>
      <c r="E2" s="11" t="s">
        <v>124</v>
      </c>
      <c r="F2" s="11"/>
      <c r="G2" s="12" t="str">
        <f>IF($F2&lt;&gt;"","Для foreign_key допустим только null_ratio=0..1. Остальные generator constraints запрещены.",IFERROR(VLOOKUP($B2,'Constant List'!$A$2:$B$7,2,FALSE),"Тип данных не заполнен"))</f>
        <v>Формат constraints: 
null_ratio=0..1; 
is_unique=true/false; 
allowed_values=[1, 2, 3];
min_value=0; 
max_value=1000</v>
      </c>
      <c r="H2" s="12" t="str">
        <f>'Constant List'!$J$2</f>
        <v>schema_name="test"; 
table_name="clients"; 
column_name="id"; 
relation_type="ONE_TO_MANY|ONE_TO_ONE"</v>
      </c>
    </row>
    <row r="3" spans="1:8" ht="71.25" x14ac:dyDescent="0.45">
      <c r="A3" s="11" t="s">
        <v>125</v>
      </c>
      <c r="B3" s="11" t="s">
        <v>78</v>
      </c>
      <c r="C3" s="11"/>
      <c r="D3" s="11"/>
      <c r="E3" s="11" t="s">
        <v>126</v>
      </c>
      <c r="F3" s="11" t="s">
        <v>127</v>
      </c>
      <c r="G3" s="12" t="str">
        <f>IF($F3&lt;&gt;"","Для foreign_key допустим только null_ratio=0..1. Остальные generator constraints запрещены.",IFERROR(VLOOKUP($B3,'Constant List'!$A$2:$B$7,2,FALSE),"Тип данных не заполнен"))</f>
        <v>Для foreign_key допустим только null_ratio=0..1. Остальные generator constraints запрещены.</v>
      </c>
      <c r="H3" s="12" t="str">
        <f>'Constant List'!$J$2</f>
        <v>schema_name="test"; 
table_name="clients"; 
column_name="id"; 
relation_type="ONE_TO_MANY|ONE_TO_ONE"</v>
      </c>
    </row>
    <row r="4" spans="1:8" ht="99.75" x14ac:dyDescent="0.45">
      <c r="A4" s="11" t="s">
        <v>128</v>
      </c>
      <c r="B4" s="11" t="s">
        <v>82</v>
      </c>
      <c r="C4" s="11" t="s">
        <v>78</v>
      </c>
      <c r="D4" s="11"/>
      <c r="E4" s="11" t="s">
        <v>129</v>
      </c>
      <c r="F4" s="11"/>
      <c r="G4" s="12" t="str">
        <f>IF($F4&lt;&gt;"","Для foreign_key допустим только null_ratio=0..1. Остальные generator constraints запрещены.",IFERROR(VLOOKUP($B4,'Constant List'!$A$2:$B$7,2,FALSE),"Тип данных не заполнен"))</f>
        <v>Формат constraints: 
null_ratio=0..1; 
is_unique=true/false; 
allowed_values=["2024-01-01", "2024-01-02"]; 
min_value="2024-01-01"; 
max_value="2024-12-31"; 
date_format="%Y-%m-%d"</v>
      </c>
      <c r="H4" s="12" t="str">
        <f>'Constant List'!$J$2</f>
        <v>schema_name="test"; 
table_name="clients"; 
column_name="id"; 
relation_type="ONE_TO_MANY|ONE_TO_ONE"</v>
      </c>
    </row>
    <row r="5" spans="1:8" ht="114" x14ac:dyDescent="0.45">
      <c r="A5" s="11" t="s">
        <v>130</v>
      </c>
      <c r="B5" s="11" t="s">
        <v>76</v>
      </c>
      <c r="C5" s="11"/>
      <c r="D5" s="11"/>
      <c r="E5" s="11" t="s">
        <v>131</v>
      </c>
      <c r="F5" s="11"/>
      <c r="G5" s="12" t="str">
        <f>IF($F5&lt;&gt;"","Для foreign_key допустим только null_ratio=0..1. Остальные generator constraints запрещены.",IFERROR(VLOOKUP($B5,'Constant List'!$A$2:$B$7,2,FALSE),"Тип данных не заполнен"))</f>
        <v>Формат constraints: 
null_ratio=0..1; 
is_unique=true/false; 
allowed_values=["A", "B"]; 
length=10; 
character_set="letters|digits|alphanumeric"; 
case_mode="mixed|lower|upper"; 
regular_expr="^[A-Z0-9]{6}$"</v>
      </c>
      <c r="H5" s="12" t="str">
        <f>'Constant List'!$J$2</f>
        <v>schema_name="test"; 
table_name="clients"; 
column_name="id"; 
relation_type="ONE_TO_MANY|ONE_TO_ONE"</v>
      </c>
    </row>
    <row r="6" spans="1:8" ht="114" x14ac:dyDescent="0.45">
      <c r="A6" s="11" t="s">
        <v>132</v>
      </c>
      <c r="B6" s="11" t="s">
        <v>84</v>
      </c>
      <c r="C6" s="11" t="s">
        <v>76</v>
      </c>
      <c r="D6" s="11"/>
      <c r="E6" s="11" t="s">
        <v>133</v>
      </c>
      <c r="F6" s="11"/>
      <c r="G6" s="12" t="str">
        <f>IF($F6&lt;&gt;"","Для foreign_key допустим только null_ratio=0..1. Остальные generator constraints запрещены.",IFERROR(VLOOKUP($B6,'Constant List'!$A$2:$B$7,2,FALSE),"Тип данных не заполнен"))</f>
        <v>Формат constraints: 
null_ratio=0..1; 
is_unique=true/false; 
allowed_values=["2024-01-01 00:00:00", "2024-01-01 00:01:00"]; 
min_timestamp="2024-01-01 00:00:00"; 
max_timestamp="2024-12-31 23:59:59"; 
timestamp_format="%Y-%m-%d %H:%M:%S"</v>
      </c>
      <c r="H6" s="12" t="str">
        <f>'Constant List'!$J$2</f>
        <v>schema_name="test"; 
table_name="clients"; 
column_name="id"; 
relation_type="ONE_TO_MANY|ONE_TO_ONE"</v>
      </c>
    </row>
  </sheetData>
  <dataValidations count="3">
    <dataValidation type="list" allowBlank="1" sqref="B2:B6" xr:uid="{00000000-0002-0000-0400-000000000000}">
      <formula1>GEN_TYPES</formula1>
    </dataValidation>
    <dataValidation type="list" allowBlank="1" sqref="D2:D6" xr:uid="{00000000-0002-0000-0400-000002000000}">
      <formula1>BOOL_VALUES</formula1>
    </dataValidation>
    <dataValidation type="list" allowBlank="1" sqref="C2:C6" xr:uid="{00000000-0002-0000-0400-000001000000}">
      <formula1>IF($B2="",GEN_TYPES,INDIRECT("OUTPUT_TYPES_"&amp;$B2))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"/>
  <sheetViews>
    <sheetView workbookViewId="0">
      <pane ySplit="1" topLeftCell="A2" activePane="bottomLeft" state="frozen"/>
      <selection pane="bottomLeft" activeCell="B4" sqref="B4"/>
    </sheetView>
  </sheetViews>
  <sheetFormatPr defaultRowHeight="14.25" x14ac:dyDescent="0.45"/>
  <cols>
    <col min="1" max="1" width="12.33203125" bestFit="1" customWidth="1"/>
    <col min="2" max="2" width="12.9296875" bestFit="1" customWidth="1"/>
    <col min="3" max="3" width="15.53125" bestFit="1" customWidth="1"/>
    <col min="4" max="4" width="13.1328125" bestFit="1" customWidth="1"/>
    <col min="5" max="5" width="22.53125" customWidth="1"/>
    <col min="6" max="6" width="10.33203125" bestFit="1" customWidth="1"/>
    <col min="7" max="7" width="36.46484375" customWidth="1"/>
    <col min="8" max="8" width="42.3984375" customWidth="1"/>
  </cols>
  <sheetData>
    <row r="1" spans="1:8" ht="30" customHeight="1" x14ac:dyDescent="0.45">
      <c r="A1" s="9" t="s">
        <v>20</v>
      </c>
      <c r="B1" s="9" t="s">
        <v>22</v>
      </c>
      <c r="C1" s="9" t="s">
        <v>24</v>
      </c>
      <c r="D1" s="9" t="s">
        <v>26</v>
      </c>
      <c r="E1" s="9" t="s">
        <v>28</v>
      </c>
      <c r="F1" s="9" t="s">
        <v>30</v>
      </c>
      <c r="G1" s="10" t="s">
        <v>112</v>
      </c>
      <c r="H1" s="10" t="s">
        <v>113</v>
      </c>
    </row>
    <row r="2" spans="1:8" ht="85.5" x14ac:dyDescent="0.45">
      <c r="A2" s="11" t="s">
        <v>114</v>
      </c>
      <c r="B2" s="11" t="s">
        <v>78</v>
      </c>
      <c r="C2" s="11"/>
      <c r="D2" s="11" t="b">
        <v>1</v>
      </c>
      <c r="E2" s="11" t="s">
        <v>134</v>
      </c>
      <c r="F2" s="11"/>
      <c r="G2" s="12" t="str">
        <f>IF($F2&lt;&gt;"","Для foreign_key допустим только null_ratio=0..1. Остальные generator constraints запрещены.",IFERROR(VLOOKUP($B2,'Constant List'!$A$2:$B$7,2,FALSE),"Тип данных не заполнен"))</f>
        <v>Формат constraints: 
null_ratio=0..1; 
is_unique=true/false; 
allowed_values=[1, 2, 3];
min_value=0; 
max_value=1000</v>
      </c>
      <c r="H2" s="12" t="str">
        <f>'Constant List'!$J$2</f>
        <v>schema_name="test"; 
table_name="clients"; 
column_name="id"; 
relation_type="ONE_TO_MANY|ONE_TO_ONE"</v>
      </c>
    </row>
    <row r="3" spans="1:8" ht="99.75" x14ac:dyDescent="0.45">
      <c r="A3" s="11" t="s">
        <v>135</v>
      </c>
      <c r="B3" s="11" t="s">
        <v>80</v>
      </c>
      <c r="C3" s="11"/>
      <c r="D3" s="11"/>
      <c r="E3" s="11" t="s">
        <v>136</v>
      </c>
      <c r="F3" s="11"/>
      <c r="G3" s="12" t="str">
        <f>IF($F3&lt;&gt;"","Для foreign_key допустим только null_ratio=0..1. Остальные generator constraints запрещены.",IFERROR(VLOOKUP($B3,'Constant List'!$A$2:$B$7,2,FALSE),"Тип данных не заполнен"))</f>
        <v>Формат constraints:
null_ratio=0..1; 
is_unique=true/false; 
allowed_values=[10.5, 20.25]; 
min_value=0.0; 
max_value=1000.0; 
precision=2</v>
      </c>
      <c r="H3" s="12" t="str">
        <f>'Constant List'!$J$2</f>
        <v>schema_name="test"; 
table_name="clients"; 
column_name="id"; 
relation_type="ONE_TO_MANY|ONE_TO_ONE"</v>
      </c>
    </row>
    <row r="4" spans="1:8" ht="128.25" x14ac:dyDescent="0.45">
      <c r="A4" s="11" t="s">
        <v>137</v>
      </c>
      <c r="B4" s="11" t="s">
        <v>76</v>
      </c>
      <c r="C4" s="11"/>
      <c r="D4" s="11"/>
      <c r="E4" s="11" t="s">
        <v>138</v>
      </c>
      <c r="F4" s="11"/>
      <c r="G4" s="12" t="str">
        <f>IF($F4&lt;&gt;"","Для foreign_key допустим только null_ratio=0..1. Остальные generator constraints запрещены.",IFERROR(VLOOKUP($B4,'Constant List'!$A$2:$B$7,2,FALSE),"Тип данных не заполнен"))</f>
        <v>Формат constraints: 
null_ratio=0..1; 
is_unique=true/false; 
allowed_values=["A", "B"]; 
length=10; 
character_set="letters|digits|alphanumeric"; 
case_mode="mixed|lower|upper"; 
regular_expr="^[A-Z0-9]{6}$"</v>
      </c>
      <c r="H4" s="12" t="str">
        <f>'Constant List'!$J$2</f>
        <v>schema_name="test"; 
table_name="clients"; 
column_name="id"; 
relation_type="ONE_TO_MANY|ONE_TO_ONE"</v>
      </c>
    </row>
    <row r="5" spans="1:8" ht="128.25" x14ac:dyDescent="0.45">
      <c r="A5" s="11" t="s">
        <v>139</v>
      </c>
      <c r="B5" s="11" t="s">
        <v>76</v>
      </c>
      <c r="C5" s="11"/>
      <c r="D5" s="11"/>
      <c r="E5" s="11" t="s">
        <v>140</v>
      </c>
      <c r="F5" s="11"/>
      <c r="G5" s="12" t="str">
        <f>IF($F5&lt;&gt;"","Для foreign_key допустим только null_ratio=0..1. Остальные generator constraints запрещены.",IFERROR(VLOOKUP($B5,'Constant List'!$A$2:$B$7,2,FALSE),"Тип данных не заполнен"))</f>
        <v>Формат constraints: 
null_ratio=0..1; 
is_unique=true/false; 
allowed_values=["A", "B"]; 
length=10; 
character_set="letters|digits|alphanumeric"; 
case_mode="mixed|lower|upper"; 
regular_expr="^[A-Z0-9]{6}$"</v>
      </c>
      <c r="H5" s="12" t="str">
        <f>'Constant List'!$J$2</f>
        <v>schema_name="test"; 
table_name="clients"; 
column_name="id"; 
relation_type="ONE_TO_MANY|ONE_TO_ONE"</v>
      </c>
    </row>
  </sheetData>
  <dataValidations count="3">
    <dataValidation type="list" allowBlank="1" sqref="B2:B5" xr:uid="{00000000-0002-0000-0500-000000000000}">
      <formula1>GEN_TYPES</formula1>
    </dataValidation>
    <dataValidation type="list" allowBlank="1" sqref="D2:D5" xr:uid="{00000000-0002-0000-0500-000002000000}">
      <formula1>BOOL_VALUES</formula1>
    </dataValidation>
    <dataValidation type="list" allowBlank="1" sqref="C2:C5" xr:uid="{00000000-0002-0000-0500-000001000000}">
      <formula1>IF($B2="",GEN_TYPES,INDIRECT("OUTPUT_TYPES_"&amp;$B2))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workbookViewId="0">
      <pane ySplit="1" topLeftCell="A2" activePane="bottomLeft" state="frozen"/>
      <selection pane="bottomLeft" activeCell="F3" sqref="F3"/>
    </sheetView>
  </sheetViews>
  <sheetFormatPr defaultRowHeight="14.25" x14ac:dyDescent="0.45"/>
  <cols>
    <col min="1" max="1" width="12.33203125" bestFit="1" customWidth="1"/>
    <col min="2" max="2" width="12.9296875" bestFit="1" customWidth="1"/>
    <col min="3" max="3" width="15.53125" bestFit="1" customWidth="1"/>
    <col min="4" max="4" width="13.1328125" bestFit="1" customWidth="1"/>
    <col min="5" max="5" width="50.1328125" bestFit="1" customWidth="1"/>
    <col min="6" max="6" width="32.73046875" customWidth="1"/>
    <col min="7" max="7" width="29.59765625" customWidth="1"/>
    <col min="8" max="8" width="40.46484375" customWidth="1"/>
  </cols>
  <sheetData>
    <row r="1" spans="1:8" ht="30" customHeight="1" x14ac:dyDescent="0.45">
      <c r="A1" s="9" t="s">
        <v>20</v>
      </c>
      <c r="B1" s="9" t="s">
        <v>22</v>
      </c>
      <c r="C1" s="9" t="s">
        <v>24</v>
      </c>
      <c r="D1" s="9" t="s">
        <v>26</v>
      </c>
      <c r="E1" s="9" t="s">
        <v>28</v>
      </c>
      <c r="F1" s="9" t="s">
        <v>30</v>
      </c>
      <c r="G1" s="10" t="s">
        <v>112</v>
      </c>
      <c r="H1" s="10" t="s">
        <v>113</v>
      </c>
    </row>
    <row r="2" spans="1:8" ht="85.5" x14ac:dyDescent="0.45">
      <c r="A2" s="11" t="s">
        <v>114</v>
      </c>
      <c r="B2" s="11" t="s">
        <v>78</v>
      </c>
      <c r="C2" s="11"/>
      <c r="D2" s="11" t="b">
        <v>1</v>
      </c>
      <c r="E2" s="11" t="s">
        <v>141</v>
      </c>
      <c r="F2" s="11"/>
      <c r="G2" s="12" t="str">
        <f>IF($F2&lt;&gt;"","Для foreign_key допустим только null_ratio=0..1. Остальные generator constraints запрещены.",IFERROR(VLOOKUP($B2,'Constant List'!$A$2:$B$7,2,FALSE),"Тип данных не заполнен"))</f>
        <v>Формат constraints: 
null_ratio=0..1; 
is_unique=true/false; 
allowed_values=[1, 2, 3];
min_value=0; 
max_value=1000</v>
      </c>
      <c r="H2" s="12" t="str">
        <f>'Constant List'!$J$2</f>
        <v>schema_name="test"; 
table_name="clients"; 
column_name="id"; 
relation_type="ONE_TO_MANY|ONE_TO_ONE"</v>
      </c>
    </row>
    <row r="3" spans="1:8" ht="57" x14ac:dyDescent="0.45">
      <c r="A3" s="11" t="s">
        <v>142</v>
      </c>
      <c r="B3" s="11" t="s">
        <v>78</v>
      </c>
      <c r="C3" s="11"/>
      <c r="D3" s="11"/>
      <c r="E3" s="11" t="s">
        <v>126</v>
      </c>
      <c r="F3" s="11" t="s">
        <v>143</v>
      </c>
      <c r="G3" s="12" t="str">
        <f>IF($F3&lt;&gt;"","Для foreign_key допустим только null_ratio=0..1. Остальные generator constraints запрещены.",IFERROR(VLOOKUP($B3,'Constant List'!$A$2:$B$7,2,FALSE),"Тип данных не заполнен"))</f>
        <v>Для foreign_key допустим только null_ratio=0..1. Остальные generator constraints запрещены.</v>
      </c>
      <c r="H3" s="12" t="str">
        <f>'Constant List'!$J$2</f>
        <v>schema_name="test"; 
table_name="clients"; 
column_name="id"; 
relation_type="ONE_TO_MANY|ONE_TO_ONE"</v>
      </c>
    </row>
    <row r="4" spans="1:8" ht="57" x14ac:dyDescent="0.45">
      <c r="A4" s="11" t="s">
        <v>144</v>
      </c>
      <c r="B4" s="11" t="s">
        <v>78</v>
      </c>
      <c r="C4" s="11"/>
      <c r="D4" s="11"/>
      <c r="E4" s="11" t="s">
        <v>126</v>
      </c>
      <c r="F4" s="11" t="s">
        <v>145</v>
      </c>
      <c r="G4" s="12" t="str">
        <f>IF($F4&lt;&gt;"","Для foreign_key допустим только null_ratio=0..1. Остальные generator constraints запрещены.",IFERROR(VLOOKUP($B4,'Constant List'!$A$2:$B$7,2,FALSE),"Тип данных не заполнен"))</f>
        <v>Для foreign_key допустим только null_ratio=0..1. Остальные generator constraints запрещены.</v>
      </c>
      <c r="H4" s="12" t="str">
        <f>'Constant List'!$J$2</f>
        <v>schema_name="test"; 
table_name="clients"; 
column_name="id"; 
relation_type="ONE_TO_MANY|ONE_TO_ONE"</v>
      </c>
    </row>
    <row r="5" spans="1:8" ht="85.5" x14ac:dyDescent="0.45">
      <c r="A5" s="11" t="s">
        <v>146</v>
      </c>
      <c r="B5" s="11" t="s">
        <v>78</v>
      </c>
      <c r="C5" s="11"/>
      <c r="D5" s="11"/>
      <c r="E5" s="11" t="s">
        <v>147</v>
      </c>
      <c r="F5" s="11"/>
      <c r="G5" s="12" t="str">
        <f>IF($F5&lt;&gt;"","Для foreign_key допустим только null_ratio=0..1. Остальные generator constraints запрещены.",IFERROR(VLOOKUP($B5,'Constant List'!$A$2:$B$7,2,FALSE),"Тип данных не заполнен"))</f>
        <v>Формат constraints: 
null_ratio=0..1; 
is_unique=true/false; 
allowed_values=[1, 2, 3];
min_value=0; 
max_value=1000</v>
      </c>
      <c r="H5" s="12" t="str">
        <f>'Constant List'!$J$2</f>
        <v>schema_name="test"; 
table_name="clients"; 
column_name="id"; 
relation_type="ONE_TO_MANY|ONE_TO_ONE"</v>
      </c>
    </row>
  </sheetData>
  <dataValidations count="3">
    <dataValidation type="list" allowBlank="1" sqref="B2:B5" xr:uid="{00000000-0002-0000-0600-000000000000}">
      <formula1>GEN_TYPES</formula1>
    </dataValidation>
    <dataValidation type="list" allowBlank="1" sqref="D2:D5" xr:uid="{00000000-0002-0000-0600-000002000000}">
      <formula1>BOOL_VALUES</formula1>
    </dataValidation>
    <dataValidation type="list" allowBlank="1" sqref="C2:C5" xr:uid="{00000000-0002-0000-0600-000001000000}">
      <formula1>IF($B2="",GEN_TYPES,INDIRECT("OUTPUT_TYPES_"&amp;$B2))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8</vt:i4>
      </vt:variant>
    </vt:vector>
  </HeadingPairs>
  <TitlesOfParts>
    <vt:vector size="15" baseType="lpstr">
      <vt:lpstr>Инструкция</vt:lpstr>
      <vt:lpstr>Constant List</vt:lpstr>
      <vt:lpstr>tables</vt:lpstr>
      <vt:lpstr>test.clients</vt:lpstr>
      <vt:lpstr>test.orders</vt:lpstr>
      <vt:lpstr>test.products</vt:lpstr>
      <vt:lpstr>test.order_items</vt:lpstr>
      <vt:lpstr>BOOL_VALUES</vt:lpstr>
      <vt:lpstr>GEN_TYPES</vt:lpstr>
      <vt:lpstr>OUTPUT_TYPES_BOOLEAN</vt:lpstr>
      <vt:lpstr>OUTPUT_TYPES_DATE</vt:lpstr>
      <vt:lpstr>OUTPUT_TYPES_FLOAT</vt:lpstr>
      <vt:lpstr>OUTPUT_TYPES_INT</vt:lpstr>
      <vt:lpstr>OUTPUT_TYPES_STRING</vt:lpstr>
      <vt:lpstr>OUTPUT_TYPES_TIMESTAMP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Мусин Рашат Канатович</cp:lastModifiedBy>
  <dcterms:created xsi:type="dcterms:W3CDTF">2026-03-25T11:28:20Z</dcterms:created>
  <dcterms:modified xsi:type="dcterms:W3CDTF">2026-03-26T10:50:06Z</dcterms:modified>
</cp:coreProperties>
</file>