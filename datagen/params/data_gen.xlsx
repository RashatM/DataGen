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2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queries" sheetId="4" state="visible" r:id="rId4"/>
    <sheet name="company_groups" sheetId="5" state="visible" r:id="rId5"/>
    <sheet name="subjects" sheetId="6" state="visible" r:id="rId6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  <definedName name="_xlnm._FilterDatabase" localSheetId="2" hidden="1">'tables'!$A$1:$G$200</definedName>
    <definedName name="_xlnm._FilterDatabase" localSheetId="3" hidden="1">'queries'!$A$1:$D$20</definedName>
    <definedName name="_xlnm._FilterDatabase" localSheetId="4" hidden="1">'company_groups'!$A$1:$K$6</definedName>
    <definedName name="_xlnm._FilterDatabase" localSheetId="5" hidden="1">'subjects'!$A$1:$K$8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</fonts>
  <fills count="8">
    <fill>
      <patternFill/>
    </fill>
    <fill>
      <patternFill patternType="gray125"/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5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0" fillId="0" borderId="0" pivotButton="0" quotePrefix="0" xfId="0"/>
    <xf numFmtId="0" fontId="0" fillId="3" borderId="3" applyAlignment="1" pivotButton="0" quotePrefix="0" xfId="0">
      <alignment vertical="top" wrapText="1"/>
    </xf>
    <xf numFmtId="0" fontId="7" fillId="7" borderId="3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3" borderId="5" applyAlignment="1" pivotButton="0" quotePrefix="0" xfId="0">
      <alignment vertical="top" wrapText="1"/>
    </xf>
    <xf numFmtId="0" fontId="7" fillId="7" borderId="6" applyAlignment="1" pivotButton="0" quotePrefix="0" xfId="0">
      <alignment vertical="top" wrapText="1"/>
    </xf>
    <xf numFmtId="0" fontId="1" fillId="4" borderId="7" applyAlignment="1" pivotButton="0" quotePrefix="0" xfId="0">
      <alignment vertical="top" wrapText="1"/>
    </xf>
    <xf numFmtId="0" fontId="1" fillId="4" borderId="8" applyAlignment="1" pivotButton="0" quotePrefix="0" xfId="0">
      <alignment vertical="top" wrapText="1"/>
    </xf>
    <xf numFmtId="0" fontId="6" fillId="5" borderId="8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0" fillId="3" borderId="10" applyAlignment="1" pivotButton="0" quotePrefix="0" xfId="0">
      <alignment vertical="top" wrapText="1"/>
    </xf>
    <xf numFmtId="0" fontId="0" fillId="3" borderId="11" applyAlignment="1" pivotButton="0" quotePrefix="0" xfId="0">
      <alignment vertical="top" wrapText="1"/>
    </xf>
    <xf numFmtId="0" fontId="7" fillId="7" borderId="11" applyAlignment="1" pivotButton="0" quotePrefix="0" xfId="0">
      <alignment vertical="top" wrapText="1"/>
    </xf>
    <xf numFmtId="0" fontId="7" fillId="7" borderId="1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Обычный" xfId="0" builtinId="0"/>
  </cellStyles>
  <dxfs count="26"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topLeftCell="A1" workbookViewId="0">
      <selection activeCell="A1" sqref="A1"/>
    </sheetView>
  </sheetViews>
  <sheetFormatPr baseColWidth="8" defaultRowHeight="14.25"/>
  <cols>
    <col width="28" customWidth="1" style="7" min="1" max="1"/>
    <col width="115" customWidth="1" style="7" min="2" max="2"/>
  </cols>
  <sheetData>
    <row r="1" ht="30" customHeight="1" s="7">
      <c r="A1" s="11" t="inlineStr">
        <is>
          <t>Шаблон DataGen: existing Hive/Iceberg tables + compare queries</t>
        </is>
      </c>
      <c r="B1" s="12" t="n"/>
    </row>
    <row r="2" ht="8" customHeight="1" s="7"/>
    <row r="3" ht="44" customHeight="1" s="7">
      <c r="A3" s="4" t="inlineStr">
        <is>
          <t>Шаг 1</t>
        </is>
      </c>
      <c r="B3" s="5" t="inlineStr">
        <is>
          <t>На листе tables заполните table_name, total_rows, явные target tables и общий write_mode.</t>
        </is>
      </c>
    </row>
    <row r="4" ht="26" customHeight="1" s="7">
      <c r="A4" s="4" t="inlineStr">
        <is>
          <t>Шаг 2</t>
        </is>
      </c>
      <c r="B4" s="5" t="inlineStr">
        <is>
          <t>Для каждой строки из tables используйте отдельный лист с именем table_name.</t>
        </is>
      </c>
    </row>
    <row r="5" ht="44" customHeight="1" s="7">
      <c r="A5" s="4" t="inlineStr">
        <is>
          <t>Шаг 3</t>
        </is>
      </c>
      <c r="B5" s="5" t="inlineStr">
        <is>
          <t>На листе queries укажите ровно два SQL: hive_sql и iceberg_sql. Сравниваются только результаты этих запросов.</t>
        </is>
      </c>
    </row>
    <row r="6" ht="44" customHeight="1" s="7">
      <c r="A6" s="4" t="inlineStr">
        <is>
          <t>Шаг 4</t>
        </is>
      </c>
      <c r="B6" s="5" t="inlineStr">
        <is>
          <t>Если поле есть только в одном engine, не возвращайте его в compare SQL. Такие поля могут жить в parquet, но не должны участвовать в сверке.</t>
        </is>
      </c>
    </row>
    <row r="7" ht="44" customHeight="1" s="7">
      <c r="A7" s="4" t="inlineStr">
        <is>
          <t>Шаг 5</t>
        </is>
      </c>
      <c r="B7" s="5" t="inlineStr">
        <is>
      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      </is>
      </c>
    </row>
    <row r="8" ht="44" customHeight="1" s="7">
      <c r="A8" s="4" t="inlineStr">
        <is>
          <t>Шаг 6</t>
        </is>
      </c>
      <c r="B8" s="5" t="inlineStr">
        <is>
          <t>Дополнительные поля ignore в queries задаются строкой через запятую: alias1, alias2, alias3. Они расширяют built-in ignore словарь техполей для engine.</t>
        </is>
      </c>
    </row>
    <row r="9" ht="44" customHeight="1" s="7">
      <c r="A9" s="4" t="inlineStr">
        <is>
          <t>Шаг 7</t>
        </is>
      </c>
      <c r="B9" s="5" t="inlineStr">
        <is>
          <t>В sheet таблицы каждая строка должна быть ровно одного типа: generated, foreign key или derived.</t>
        </is>
      </c>
    </row>
    <row r="10" ht="44" customHeight="1" s="7">
      <c r="A10" s="4" t="inlineStr">
        <is>
          <t>Шаг 8</t>
        </is>
      </c>
      <c r="B10" s="5" t="inlineStr">
        <is>
          <t>generated: заполнены column_name + gen_data_type. output_data_type опционален, остальные специальные поля пустые.</t>
        </is>
      </c>
    </row>
    <row r="11" ht="44" customHeight="1" s="7">
      <c r="A11" s="4" t="inlineStr">
        <is>
          <t>Шаг 9</t>
        </is>
      </c>
      <c r="B11" s="5" t="inlineStr">
        <is>
          <t>foreign key: заполнен только foreign_key. gen_data_type и output_data_type не указываются вручную, constraints допускает только null_ratio.</t>
        </is>
      </c>
    </row>
    <row r="12" ht="44" customHeight="1" s="7">
      <c r="A12" s="4" t="inlineStr">
        <is>
          <t>Шаг 10</t>
        </is>
      </c>
      <c r="B12" s="5" t="inlineStr">
        <is>
          <t>derived: заполнены derive + output_data_type. gen_data_type, constraints и foreign_key остаются пустыми.</t>
        </is>
      </c>
    </row>
    <row r="13" ht="44" customHeight="1" s="7">
      <c r="A13" s="4" t="inlineStr">
        <is>
          <t>Шаг 11</t>
        </is>
      </c>
      <c r="B13" s="5" t="inlineStr">
        <is>
          <t>engine_scope: both по умолчанию. hive_only и iceberg_only используйте только для колонок, которые реально нужны одному движку.</t>
        </is>
      </c>
    </row>
    <row r="14" ht="44" customHeight="1" s="7">
      <c r="A14" s="4" t="inlineStr">
        <is>
          <t>Шаг 12</t>
        </is>
      </c>
      <c r="B14" s="5" t="inlineStr">
        <is>
          <t>Если target column нет в parquet: nullable -&gt; loader ставит NULL; non-nullable -&gt; загрузка падает. Broad autofill по type defaults в v1 не используется.</t>
        </is>
      </c>
    </row>
    <row r="15" ht="8" customHeight="1" s="7"/>
    <row r="16" ht="24" customHeight="1" s="7">
      <c r="A16" s="6" t="inlineStr">
        <is>
          <t>Колонки листа tables</t>
        </is>
      </c>
      <c r="B16" s="6" t="n"/>
    </row>
    <row r="17" ht="44" customHeight="1" s="7">
      <c r="A17" s="4" t="inlineStr">
        <is>
          <t>table_name</t>
        </is>
      </c>
      <c r="B17" s="5" t="inlineStr">
        <is>
          <t>Обязательное поле. Логическое имя таблицы в DataGen и имя sheet. Должно быть уникальным в workbook.</t>
        </is>
      </c>
    </row>
    <row r="18" ht="26" customHeight="1" s="7">
      <c r="A18" s="4" t="inlineStr">
        <is>
          <t>total_rows</t>
        </is>
      </c>
      <c r="B18" s="5" t="inlineStr">
        <is>
          <t>Обязательное поле. Количество строк для генерации.</t>
        </is>
      </c>
    </row>
    <row r="19" ht="26" customHeight="1" s="7">
      <c r="A19" s="4" t="inlineStr">
        <is>
          <t>hive_target_table</t>
        </is>
      </c>
      <c r="B19" s="5" t="inlineStr">
        <is>
          <t>Обязательное поле. Полное имя существующей Hive-таблицы.</t>
        </is>
      </c>
    </row>
    <row r="20" ht="26" customHeight="1" s="7">
      <c r="A20" s="4" t="inlineStr">
        <is>
          <t>iceberg_target_table</t>
        </is>
      </c>
      <c r="B20" s="5" t="inlineStr">
        <is>
          <t>Обязательное поле. Полное имя существующей Iceberg-таблицы.</t>
        </is>
      </c>
    </row>
    <row r="21" ht="44" customHeight="1" s="7">
      <c r="A21" s="4" t="inlineStr">
        <is>
          <t>write_mode</t>
        </is>
      </c>
      <c r="B21" s="5" t="inlineStr">
        <is>
          <t>Обязательное поле. Один общий режим записи: OVERWRITE_TABLE, OVERWRITE_PARTITIONS, APPEND.</t>
        </is>
      </c>
    </row>
    <row r="22" ht="44" customHeight="1" s="7">
      <c r="A22" s="4" t="inlineStr">
        <is>
          <t>partition metadata</t>
        </is>
      </c>
      <c r="B22" s="5" t="inlineStr">
        <is>
          <t>Не задаётся в workbook. Partition behavior определяется реальной target table и выбранным write_mode.</t>
        </is>
      </c>
    </row>
    <row r="23" ht="44" customHeight="1" s="7">
      <c r="A23" s="4" t="inlineStr">
        <is>
          <t/>
        </is>
      </c>
      <c r="B23" s="5" t="inlineStr">
        <is>
          <t/>
        </is>
      </c>
    </row>
    <row r="24" ht="8" customHeight="1" s="7"/>
    <row r="25" ht="24" customHeight="1" s="7">
      <c r="A25" s="6" t="inlineStr">
        <is>
          <t>Колонки листа table_name</t>
        </is>
      </c>
      <c r="B25" s="6" t="n"/>
    </row>
    <row r="26" ht="26" customHeight="1" s="7">
      <c r="A26" s="4" t="inlineStr">
        <is>
          <t>column_name</t>
        </is>
      </c>
      <c r="B26" s="5" t="inlineStr">
        <is>
          <t>Обязательное поле. Имя итоговой колонки в parquet и/или target table.</t>
        </is>
      </c>
    </row>
    <row r="27" ht="44" customHeight="1" s="7">
      <c r="A27" s="4" t="inlineStr">
        <is>
          <t>gen_data_type</t>
        </is>
      </c>
      <c r="B27" s="5" t="inlineStr">
        <is>
          <t>Обязательное только для generated-колонки. STRING, INT, FLOAT, DATE, TIMESTAMP, BOOLEAN.</t>
        </is>
      </c>
    </row>
    <row r="28" ht="26" customHeight="1" s="7">
      <c r="A28" s="4" t="inlineStr">
        <is>
          <t>output_data_type</t>
        </is>
      </c>
      <c r="B28" s="5" t="inlineStr">
        <is>
          <t>Опционально для generated, обязательно для derived, пусто для foreign key.</t>
        </is>
      </c>
    </row>
    <row r="29" ht="44" customHeight="1" s="7">
      <c r="A29" s="4" t="inlineStr">
        <is>
          <t>is_primary_key</t>
        </is>
      </c>
      <c r="B29" s="5" t="inlineStr">
        <is>
          <t>Опционально. TRUE только для generated-колонок. Для PK система сама применяет null_ratio=0 и is_unique=true.</t>
        </is>
      </c>
    </row>
    <row r="30" ht="44" customHeight="1" s="7">
      <c r="A30" s="4" t="inlineStr">
        <is>
          <t>constraints</t>
        </is>
      </c>
      <c r="B30" s="5" t="inlineStr">
        <is>
          <t>Опционально только для generated. Формат key=value; key=value. Для foreign key допустим только null_ratio, для derived поле должно быть пустым.</t>
        </is>
      </c>
    </row>
    <row r="31" ht="44" customHeight="1" s="7">
      <c r="A31" s="4" t="inlineStr">
        <is>
          <t>foreign_key</t>
        </is>
      </c>
      <c r="B31" s="5" t="inlineStr">
        <is>
          <t>Формат: table_name="..."; column_name="..."; relation_type="ONE_TO_MANY|ONE_TO_ONE".</t>
        </is>
      </c>
    </row>
    <row r="32" ht="26" customHeight="1" s="7">
      <c r="A32" s="4" t="inlineStr">
        <is>
          <t>engine_scope</t>
        </is>
      </c>
      <c r="B32" s="5" t="inlineStr">
        <is>
          <t>Опционально. both | hive_only | iceberg_only. Если пусто, трактуется как both.</t>
        </is>
      </c>
    </row>
    <row r="33" ht="44" customHeight="1" s="7">
      <c r="A33" s="4" t="inlineStr">
        <is>
          <t>derive</t>
        </is>
      </c>
      <c r="B33" s="5" t="inlineStr">
        <is>
          <t>Формат: source_column="VALUE_DAY"; rule="YYYYMMDD". Используется только для derived-колонок.</t>
        </is>
      </c>
    </row>
    <row r="34" ht="8" customHeight="1" s="7"/>
    <row r="35" ht="24" customHeight="1" s="7">
      <c r="A35" s="6" t="inlineStr">
        <is>
          <t>Колонки листа queries</t>
        </is>
      </c>
      <c r="B35" s="6" t="n"/>
    </row>
    <row r="36" ht="26" customHeight="1" s="7">
      <c r="A36" s="4" t="inlineStr">
        <is>
          <t>hive_sql</t>
        </is>
      </c>
      <c r="B36" s="5" t="inlineStr">
        <is>
          <t>Обязательное поле. Hive SQL, который возвращает только сравнимые result columns.</t>
        </is>
      </c>
    </row>
    <row r="37" ht="26" customHeight="1" s="7">
      <c r="A37" s="4" t="inlineStr">
        <is>
          <t>iceberg_sql</t>
        </is>
      </c>
      <c r="B37" s="5" t="inlineStr">
        <is>
          <t>Обязательное поле. Iceberg SQL с той же бизнес-семантикой, что и hive_sql.</t>
        </is>
      </c>
    </row>
    <row r="38" ht="44" customHeight="1" s="7">
      <c r="A38" s="4" t="inlineStr">
        <is>
          <t>hive_exclude_columns</t>
        </is>
      </c>
      <c r="B38" s="5" t="inlineStr">
        <is>
          <t>Опционально. Дополнительные alias-колонки через запятую, которые нужно исключить из compare результата Hive.</t>
        </is>
      </c>
    </row>
    <row r="39" ht="44" customHeight="1" s="7">
      <c r="A39" s="4" t="inlineStr">
        <is>
          <t>iceberg_exclude_columns</t>
        </is>
      </c>
      <c r="B39" s="5" t="inlineStr">
        <is>
          <t>Опционально. Дополнительные alias-колонки через запятую, которые нужно исключить из compare результата Iceberg.</t>
        </is>
      </c>
    </row>
    <row r="40" ht="8" customHeight="1" s="7"/>
    <row r="41" ht="24" customHeight="1" s="7">
      <c r="A41" s="6" t="inlineStr">
        <is>
          <t>Corner cases</t>
        </is>
      </c>
      <c r="B41" s="6" t="n"/>
    </row>
    <row r="42" ht="26" customHeight="1" s="7">
      <c r="A42" s="4" t="inlineStr">
        <is>
          <t>foreign_key + derive</t>
        </is>
      </c>
      <c r="B42" s="5" t="inlineStr">
        <is>
          <t>Одновременно запрещены.</t>
        </is>
      </c>
    </row>
    <row r="43" ht="44" customHeight="1" s="7">
      <c r="A43" s="4" t="inlineStr">
        <is>
          <t>derived from derived</t>
        </is>
      </c>
      <c r="B43" s="5" t="inlineStr">
        <is>
          <t>Для v1 лучше не использовать. source_column должен ссылаться на обычную или FK-колонку этой же таблицы.</t>
        </is>
      </c>
    </row>
    <row r="44" ht="44" customHeight="1" s="7">
      <c r="A44" s="4" t="inlineStr">
        <is>
          <t>partition columns</t>
        </is>
      </c>
      <c r="B44" s="5" t="inlineStr">
        <is>
          <t>OVERWRITE_PARTITIONS используйте только для реально partitioned target tables.</t>
        </is>
      </c>
    </row>
    <row r="45" ht="44" customHeight="1" s="7">
      <c r="A45" s="4" t="inlineStr">
        <is>
          <t>query compare</t>
        </is>
      </c>
      <c r="B45" s="5" t="inlineStr">
        <is>
          <t>После ignore и удаления DATE/TIMESTAMP схемы query results должны совпадать. Иначе compare падает.</t>
        </is>
      </c>
    </row>
    <row r="46" ht="10.05" customHeight="1" s="7"/>
    <row r="47" ht="24" customHeight="1" s="7"/>
    <row r="48" ht="22.05" customHeight="1" s="7"/>
    <row r="49" ht="10.05" customHeight="1" s="7"/>
    <row r="50" ht="24" customHeight="1" s="7"/>
    <row r="51" ht="30" customHeight="1" s="7"/>
    <row r="52" ht="36" customHeight="1" s="7"/>
    <row r="53" ht="22.05" customHeight="1" s="7"/>
    <row r="54" ht="10.05" customHeight="1" s="7"/>
    <row r="55" ht="24" customHeight="1" s="7"/>
    <row r="56" ht="22.05" customHeight="1" s="7"/>
    <row r="57" ht="22.05" customHeight="1" s="7"/>
    <row r="58" ht="22.05" customHeight="1" s="7"/>
    <row r="59" ht="22.05" customHeight="1" s="7"/>
    <row r="60" ht="22.05" customHeight="1" s="7"/>
    <row r="61" ht="22.05" customHeight="1" s="7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14" customWidth="1" style="7" min="1" max="1"/>
    <col width="60" customWidth="1" style="7" min="2" max="2"/>
    <col width="10" customWidth="1" style="7" min="8" max="8"/>
    <col width="30" customWidth="1" style="7" min="10" max="10"/>
    <col width="30" customWidth="1" style="7" min="11" max="11"/>
    <col width="24" customWidth="1" style="7" min="12" max="12"/>
    <col width="16" customWidth="1" style="7" min="13" max="13"/>
    <col width="20" customWidth="1" style="7" min="14" max="14"/>
  </cols>
  <sheetData>
    <row r="1">
      <c r="A1" s="24" t="inlineStr">
        <is>
          <t>Data Type</t>
        </is>
      </c>
      <c r="B1" s="24" t="inlineStr">
        <is>
          <t>Constraint Hint</t>
        </is>
      </c>
      <c r="H1" s="24" t="inlineStr">
        <is>
          <t>Bool</t>
        </is>
      </c>
      <c r="J1" s="24" t="inlineStr">
        <is>
          <t>Foreign Key Example</t>
        </is>
      </c>
      <c r="K1" s="24" t="inlineStr">
        <is>
          <t>Derive Example</t>
        </is>
      </c>
      <c r="L1" s="24" t="inlineStr">
        <is>
          <t>Write Mode</t>
        </is>
      </c>
      <c r="M1" s="24" t="inlineStr">
        <is>
          <t>Engine Scope</t>
        </is>
      </c>
      <c r="N1" s="24" t="inlineStr">
        <is>
          <t>Derive Rule</t>
        </is>
      </c>
    </row>
    <row r="2" ht="114" customHeight="1" s="7">
      <c r="A2" s="24" t="inlineStr">
        <is>
          <t>STRING</t>
        </is>
      </c>
      <c r="B2" s="24" t="inlineStr">
        <is>
          <t>Формат constraints:
null_ratio=0..1;
is_unique=true/false;
allowed_values=["A", "B"];
length=10;
character_set="letters|digits|alphanumeric";
case_mode="mixed|lower|upper";
regular_expr="^[A-Z0-9]{6}$"</t>
        </is>
      </c>
      <c r="H2" s="24" t="inlineStr">
        <is>
          <t>TRUE</t>
        </is>
      </c>
      <c r="J2" s="24" t="inlineStr">
        <is>
          <t>table_name="company_groups";
column_name="INN";
relation_type="ONE_TO_MANY|ONE_TO_ONE"</t>
        </is>
      </c>
      <c r="K2" s="24" t="inlineStr">
        <is>
          <t>source_column="VALUE_DAY";
rule="YYYYMMDD"</t>
        </is>
      </c>
      <c r="L2" s="24" t="inlineStr">
        <is>
          <t>OVERWRITE_TABLE</t>
        </is>
      </c>
      <c r="M2" s="24" t="inlineStr">
        <is>
          <t>both</t>
        </is>
      </c>
      <c r="N2" s="24" t="inlineStr">
        <is>
          <t>YYYYMMDD</t>
        </is>
      </c>
    </row>
    <row r="3" ht="85.5" customHeight="1" s="7">
      <c r="A3" s="24" t="inlineStr">
        <is>
          <t>INT</t>
        </is>
      </c>
      <c r="B3" s="24" t="inlineStr">
        <is>
          <t>Формат constraints:
null_ratio=0..1;
is_unique=true/false;
allowed_values=[1, 2, 3];
min_value=0;
max_value=1000</t>
        </is>
      </c>
      <c r="H3" s="24" t="inlineStr">
        <is>
          <t>FALSE</t>
        </is>
      </c>
      <c r="L3" s="24" t="inlineStr">
        <is>
          <t>OVERWRITE_PARTITIONS</t>
        </is>
      </c>
      <c r="M3" s="24" t="inlineStr">
        <is>
          <t>hive_only</t>
        </is>
      </c>
      <c r="N3" s="24" t="inlineStr">
        <is>
          <t>YEAR</t>
        </is>
      </c>
    </row>
    <row r="4" ht="99.75" customHeight="1" s="7">
      <c r="A4" s="24" t="inlineStr">
        <is>
          <t>FLOAT</t>
        </is>
      </c>
      <c r="B4" s="24" t="inlineStr">
        <is>
          <t>Формат constraints:
null_ratio=0..1;
is_unique=true/false;
allowed_values=[10.5, 20.25];
min_value=0.0;
max_value=1000.0;
precision=2</t>
        </is>
      </c>
      <c r="L4" s="24" t="inlineStr">
        <is>
          <t>APPEND</t>
        </is>
      </c>
      <c r="M4" s="24" t="inlineStr">
        <is>
          <t>iceberg_only</t>
        </is>
      </c>
      <c r="N4" s="24" t="inlineStr">
        <is>
          <t>MONTH</t>
        </is>
      </c>
    </row>
    <row r="5" ht="99.75" customHeight="1" s="7">
      <c r="A5" s="24" t="inlineStr">
        <is>
          <t>DATE</t>
        </is>
      </c>
      <c r="B5" s="24" t="inlineStr">
        <is>
          <t>Формат constraints:
null_ratio=0..1;
is_unique=true/false;
allowed_values=["2024-01-01", "2024-01-02"];
min_value="2024-01-01";
max_value="2024-12-31";
date_format="%Y-%m-%d"</t>
        </is>
      </c>
      <c r="L5" s="24" t="n"/>
      <c r="N5" s="24" t="n"/>
    </row>
    <row r="6" ht="99.75" customHeight="1" s="7">
      <c r="A6" s="24" t="inlineStr">
        <is>
          <t>TIMESTAMP</t>
        </is>
      </c>
      <c r="B6" s="24" t="inlineStr">
        <is>
          <t>Формат constraints:
null_ratio=0..1;
is_unique=true/false;
allowed_values=["2024-01-01 00:00:00", "2024-01-01 00:01:00"];
min_timestamp="2024-01-01 00:00:00";
max_timestamp="2024-12-31 23:59:59";
timestamp_format="%Y-%m-%d %H:%M:%S"</t>
        </is>
      </c>
    </row>
    <row r="7" ht="57" customHeight="1" s="7">
      <c r="A7" s="24" t="inlineStr">
        <is>
          <t>BOOLEAN</t>
        </is>
      </c>
      <c r="B7" s="24" t="inlineStr">
        <is>
          <t>Формат constraints:
null_ratio=0..1;
is_unique=true/false;
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tabSelected="1"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4" customWidth="1" style="7" min="1" max="2"/>
    <col width="14" customWidth="1" style="7" min="2" max="2"/>
    <col width="42" customWidth="1" style="7" min="3" max="3"/>
    <col width="42" customWidth="1" style="7" min="4" max="4"/>
    <col width="24" customWidth="1" style="7" min="5" max="5"/>
    <col width="24" customWidth="1" style="7" min="6" max="6"/>
    <col width="24" customWidth="1" style="7" min="7" max="7"/>
    <col width="26" customWidth="1" style="7" min="8" max="8"/>
  </cols>
  <sheetData>
    <row r="1" ht="26" customHeight="1" s="7">
      <c r="A1" s="3" t="inlineStr">
        <is>
          <t>table_name</t>
        </is>
      </c>
      <c r="B1" s="3" t="inlineStr">
        <is>
          <t>total_rows</t>
        </is>
      </c>
      <c r="C1" s="3" t="inlineStr">
        <is>
          <t>hive_target_table</t>
        </is>
      </c>
      <c r="D1" s="3" t="inlineStr">
        <is>
          <t>iceberg_target_table</t>
        </is>
      </c>
      <c r="E1" s="3" t="inlineStr">
        <is>
          <t>write_mode</t>
        </is>
      </c>
    </row>
    <row r="2" ht="22" customHeight="1" s="7">
      <c r="A2" s="2" t="inlineStr">
        <is>
          <t>company_groups</t>
        </is>
      </c>
      <c r="B2" s="2" t="n">
        <v>5000</v>
      </c>
      <c r="C2" s="2" t="inlineStr">
        <is>
          <t>hive_db.analytics_db__company_groups</t>
        </is>
      </c>
      <c r="D2" s="2" t="inlineStr">
        <is>
          <t>iceberg_db.analytics_db__company_groups</t>
        </is>
      </c>
      <c r="E2" s="2" t="inlineStr">
        <is>
          <t>OVERWRITE_PARTITIONS</t>
        </is>
      </c>
    </row>
    <row r="3" ht="22" customHeight="1" s="7">
      <c r="A3" s="2" t="inlineStr">
        <is>
          <t>subjects</t>
        </is>
      </c>
      <c r="B3" s="2" t="n">
        <v>10000</v>
      </c>
      <c r="C3" s="2" t="inlineStr">
        <is>
          <t>hive_db.analytics_db__subjects</t>
        </is>
      </c>
      <c r="D3" s="2" t="inlineStr">
        <is>
          <t>iceberg_db.analytics_db__subjects</t>
        </is>
      </c>
      <c r="E3" s="2" t="inlineStr">
        <is>
          <t>APPEND</t>
        </is>
      </c>
    </row>
    <row r="6" ht="24" customHeight="1" s="7"/>
  </sheetData>
  <autoFilter ref="A1:G200"/>
  <dataValidations count="1">
    <dataValidation sqref="E2:E200" showDropDown="0" showInputMessage="0" showErrorMessage="0" allowBlank="0" type="list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80" customWidth="1" style="7" min="1" max="1"/>
    <col width="80" customWidth="1" style="7" min="2" max="2"/>
    <col width="30" customWidth="1" style="7" min="3" max="3"/>
    <col width="30" customWidth="1" style="7" min="4" max="4"/>
  </cols>
  <sheetData>
    <row r="1" ht="26" customHeight="1" s="7">
      <c r="A1" s="3" t="inlineStr">
        <is>
          <t>hive_sql</t>
        </is>
      </c>
      <c r="B1" s="3" t="inlineStr">
        <is>
          <t>iceberg_sql</t>
        </is>
      </c>
      <c r="C1" s="3" t="inlineStr">
        <is>
          <t>hive_exclude_columns</t>
        </is>
      </c>
      <c r="D1" s="3" t="inlineStr">
        <is>
          <t>iceberg_exclude_columns</t>
        </is>
      </c>
    </row>
    <row r="2" ht="44" customHeight="1" s="7">
      <c r="A2" s="2" t="inlineStr">
        <is>
          <t>SELECT
    cg.GROUP_ID_DM,
    cg.MAIN_COMPANY_FLG_DM,
    COUNT(s.IDSUBJECT) AS subject_count,
    COUNT(s.SOGRN) AS with_ogrn_count
FROM hive_db.analytics_db__company_groups cg
JOIN hive_db.analytics_db__subjects s ON cg.INN = s.SINN
GROUP BY cg.GROUP_ID_DM, cg.MAIN_COMPANY_FLG_DM</t>
        </is>
      </c>
      <c r="B2" s="2" t="inlineStr">
        <is>
          <t>SELECT
    cg.GROUP_ID_DM,
    cg.MAIN_COMPANY_FLG_DM,
    COUNT(s.IDSUBJECT) AS subject_count,
    COUNT(s.SOGRN) AS with_ogrn_count
FROM iceberg_db.analytics_db__company_groups cg
JOIN iceberg_db.analytics_db__subjects s ON cg.INN = s.SINN
GROUP BY cg.GROUP_ID_DM, cg.MAIN_COMPANY_FLG_DM</t>
        </is>
      </c>
      <c r="C2" s="2" t="inlineStr">
        <is>
          <t>date_part, year_part, month_part</t>
        </is>
      </c>
      <c r="D2" s="2" t="inlineStr">
        <is>
          <t>date_part, year_part, month_part</t>
        </is>
      </c>
    </row>
  </sheetData>
  <autoFilter ref="A1:D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0" customWidth="1" style="7" min="1" max="1"/>
    <col width="16" customWidth="1" style="7" min="2" max="2"/>
    <col width="18" customWidth="1" style="7" min="3" max="3"/>
    <col width="14" customWidth="1" style="7" min="4" max="4"/>
    <col width="48" customWidth="1" style="7" min="5" max="5"/>
    <col width="38" customWidth="1" style="7" min="6" max="6"/>
    <col width="16" customWidth="1" style="7" min="7" max="7"/>
    <col width="36" customWidth="1" style="7" min="8" max="8"/>
    <col width="58" customWidth="1" style="7" min="9" max="9"/>
    <col width="34" customWidth="1" style="7" min="10" max="10"/>
    <col width="34" customWidth="1" style="7" min="11" max="11"/>
  </cols>
  <sheetData>
    <row r="1" ht="30" customHeight="1" s="7">
      <c r="A1" s="15" t="inlineStr">
        <is>
          <t>column_name</t>
        </is>
      </c>
      <c r="B1" s="15" t="inlineStr">
        <is>
          <t>gen_data_type</t>
        </is>
      </c>
      <c r="C1" s="15" t="inlineStr">
        <is>
          <t>output_data_type</t>
        </is>
      </c>
      <c r="D1" s="15" t="inlineStr">
        <is>
          <t>is_primary_key</t>
        </is>
      </c>
      <c r="E1" s="15" t="inlineStr">
        <is>
          <t>constraints</t>
        </is>
      </c>
      <c r="F1" s="15" t="inlineStr">
        <is>
          <t>foreign_key</t>
        </is>
      </c>
      <c r="G1" s="15" t="inlineStr">
        <is>
          <t>engine_scope</t>
        </is>
      </c>
      <c r="H1" s="15" t="inlineStr">
        <is>
          <t>derive</t>
        </is>
      </c>
      <c r="I1" s="17" t="inlineStr">
        <is>
          <t>Подсказка</t>
        </is>
      </c>
      <c r="J1" s="17" t="inlineStr">
        <is>
          <t>Пример заполнения foreign_key</t>
        </is>
      </c>
      <c r="K1" s="18" t="inlineStr">
        <is>
          <t>Пример заполнения derive</t>
        </is>
      </c>
    </row>
    <row r="2" ht="28" customHeight="1" s="7">
      <c r="A2" s="13" t="inlineStr">
        <is>
          <t>INN</t>
        </is>
      </c>
      <c r="B2" s="13" t="inlineStr">
        <is>
          <t>INT</t>
        </is>
      </c>
      <c r="C2" s="13" t="inlineStr">
        <is>
          <t>INT</t>
        </is>
      </c>
      <c r="D2" s="13" t="b">
        <v>1</v>
      </c>
      <c r="E2" s="13" t="inlineStr">
        <is>
          <t>digits_count=10</t>
        </is>
      </c>
      <c r="F2" s="13" t="n"/>
      <c r="G2" s="13" t="inlineStr">
        <is>
          <t>both</t>
        </is>
      </c>
      <c r="H2" s="13" t="n"/>
      <c r="I2" s="9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/>
      </c>
      <c r="J2" s="9">
        <f>'Constant List'!$J$2</f>
        <v/>
      </c>
      <c r="K2" s="14">
        <f>'Constant List'!$K$2</f>
        <v/>
      </c>
    </row>
    <row r="3" ht="46" customHeight="1" s="7">
      <c r="A3" s="13" t="inlineStr">
        <is>
          <t>GROUP_ID_DM</t>
        </is>
      </c>
      <c r="B3" s="13" t="inlineStr">
        <is>
          <t>INT</t>
        </is>
      </c>
      <c r="C3" s="13" t="inlineStr">
        <is>
          <t>INT</t>
        </is>
      </c>
      <c r="D3" s="13" t="n"/>
      <c r="E3" s="13" t="inlineStr">
        <is>
          <t>null_ratio=0; min_value=1; max_value=6000000</t>
        </is>
      </c>
      <c r="F3" s="13" t="n"/>
      <c r="G3" s="13" t="inlineStr">
        <is>
          <t>both</t>
        </is>
      </c>
      <c r="H3" s="13" t="n"/>
      <c r="I3" s="9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/>
      </c>
      <c r="J3" s="9">
        <f>'Constant List'!$J$2</f>
        <v/>
      </c>
      <c r="K3" s="14">
        <f>'Constant List'!$K$2</f>
        <v/>
      </c>
    </row>
    <row r="4" ht="28" customHeight="1" s="7">
      <c r="A4" s="13" t="inlineStr">
        <is>
          <t>MAIN_COMPANY_FLG_DM</t>
        </is>
      </c>
      <c r="B4" s="13" t="inlineStr">
        <is>
          <t>INT</t>
        </is>
      </c>
      <c r="C4" s="13" t="inlineStr">
        <is>
          <t>INT</t>
        </is>
      </c>
      <c r="D4" s="13" t="n"/>
      <c r="E4" s="13" t="inlineStr">
        <is>
          <t>allowed_values=[0, 1]</t>
        </is>
      </c>
      <c r="F4" s="13" t="n"/>
      <c r="G4" s="13" t="inlineStr">
        <is>
          <t>both</t>
        </is>
      </c>
      <c r="H4" s="13" t="n"/>
      <c r="I4" s="9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/>
      </c>
      <c r="J4" s="9">
        <f>'Constant List'!$J$2</f>
        <v/>
      </c>
      <c r="K4" s="14">
        <f>'Constant List'!$K$2</f>
        <v/>
      </c>
    </row>
    <row r="5" ht="46" customHeight="1" s="7">
      <c r="A5" s="13" t="inlineStr">
        <is>
          <t>VALUE_DAY</t>
        </is>
      </c>
      <c r="B5" s="13" t="inlineStr">
        <is>
          <t>DATE</t>
        </is>
      </c>
      <c r="C5" s="13" t="inlineStr">
        <is>
          <t>DATE</t>
        </is>
      </c>
      <c r="D5" s="13" t="n"/>
      <c r="E5" s="13" t="inlineStr">
        <is>
          <t>min_value="2025-01-01"; max_value="2025-12-31"</t>
        </is>
      </c>
      <c r="F5" s="13" t="n"/>
      <c r="G5" s="13" t="inlineStr">
        <is>
          <t>both</t>
        </is>
      </c>
      <c r="H5" s="13" t="n"/>
      <c r="I5" s="9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/>
      </c>
      <c r="J5" s="9">
        <f>'Constant List'!$J$2</f>
        <v/>
      </c>
      <c r="K5" s="14">
        <f>'Constant List'!$K$2</f>
        <v/>
      </c>
    </row>
    <row r="6" ht="28" customHeight="1" s="7">
      <c r="A6" s="13" t="inlineStr">
        <is>
          <t>DATE_PART</t>
        </is>
      </c>
      <c r="B6" s="13" t="n"/>
      <c r="C6" s="13" t="inlineStr">
        <is>
          <t>INT</t>
        </is>
      </c>
      <c r="D6" s="13" t="n"/>
      <c r="E6" s="13" t="n"/>
      <c r="F6" s="13" t="n"/>
      <c r="G6" s="13" t="inlineStr">
        <is>
          <t>hive_only</t>
        </is>
      </c>
      <c r="H6" s="13" t="inlineStr">
        <is>
          <t>source_column="VALUE_DAY"; rule="YYYYMMDD"</t>
        </is>
      </c>
      <c r="I6" s="9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/>
      </c>
      <c r="J6" s="9">
        <f>'Constant List'!$J$2</f>
        <v/>
      </c>
      <c r="K6" s="14">
        <f>'Constant List'!$K$2</f>
        <v/>
      </c>
    </row>
  </sheetData>
  <autoFilter ref="A1:K6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"both,hive_only,iceberg_only"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0" customWidth="1" style="7" min="1" max="1"/>
    <col width="16" customWidth="1" style="7" min="2" max="2"/>
    <col width="18" customWidth="1" style="7" min="3" max="3"/>
    <col width="14" customWidth="1" style="7" min="4" max="4"/>
    <col width="48" customWidth="1" style="7" min="5" max="5"/>
    <col width="38" customWidth="1" style="7" min="6" max="6"/>
    <col width="16" customWidth="1" style="7" min="7" max="7"/>
    <col width="36" bestFit="1" customWidth="1" style="7" min="8" max="8"/>
    <col width="58" customWidth="1" style="7" min="9" max="9"/>
    <col width="34" customWidth="1" style="7" min="10" max="10"/>
    <col width="34" customWidth="1" style="7" min="11" max="11"/>
  </cols>
  <sheetData>
    <row r="1" ht="30" customHeight="1" s="7">
      <c r="A1" s="15" t="inlineStr">
        <is>
          <t>column_name</t>
        </is>
      </c>
      <c r="B1" s="15" t="inlineStr">
        <is>
          <t>gen_data_type</t>
        </is>
      </c>
      <c r="C1" s="15" t="inlineStr">
        <is>
          <t>output_data_type</t>
        </is>
      </c>
      <c r="D1" s="15" t="inlineStr">
        <is>
          <t>is_primary_key</t>
        </is>
      </c>
      <c r="E1" s="15" t="inlineStr">
        <is>
          <t>constraints</t>
        </is>
      </c>
      <c r="F1" s="15" t="inlineStr">
        <is>
          <t>foreign_key</t>
        </is>
      </c>
      <c r="G1" s="15" t="inlineStr">
        <is>
          <t>engine_scope</t>
        </is>
      </c>
      <c r="H1" s="15" t="inlineStr">
        <is>
          <t>derive</t>
        </is>
      </c>
      <c r="I1" s="17" t="inlineStr">
        <is>
          <t>Подсказка</t>
        </is>
      </c>
      <c r="J1" s="17" t="inlineStr">
        <is>
          <t>Пример заполнения foreign_key</t>
        </is>
      </c>
      <c r="K1" s="18" t="inlineStr">
        <is>
          <t>Пример заполнения derive</t>
        </is>
      </c>
    </row>
    <row r="2" ht="28" customHeight="1" s="7">
      <c r="A2" s="13" t="inlineStr">
        <is>
          <t>STYPE</t>
        </is>
      </c>
      <c r="B2" s="13" t="inlineStr">
        <is>
          <t>STRING</t>
        </is>
      </c>
      <c r="C2" s="13" t="inlineStr">
        <is>
          <t>STRING</t>
        </is>
      </c>
      <c r="D2" s="13" t="n"/>
      <c r="E2" s="13" t="inlineStr">
        <is>
          <t>allowed_values=["c", "cpr"]</t>
        </is>
      </c>
      <c r="F2" s="13" t="n"/>
      <c r="G2" s="13" t="inlineStr">
        <is>
          <t>both</t>
        </is>
      </c>
      <c r="H2" s="13" t="n"/>
      <c r="I2" s="9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/>
      </c>
      <c r="J2" s="9">
        <f>'Constant List'!$J$2</f>
        <v/>
      </c>
      <c r="K2" s="14">
        <f>'Constant List'!$K$2</f>
        <v/>
      </c>
    </row>
    <row r="3" ht="46" customHeight="1" s="7">
      <c r="A3" s="13" t="inlineStr">
        <is>
          <t>SINN</t>
        </is>
      </c>
      <c r="B3" s="13" t="n"/>
      <c r="C3" s="13" t="n"/>
      <c r="D3" s="13" t="n"/>
      <c r="E3" s="13" t="n"/>
      <c r="F3" s="13" t="inlineStr">
        <is>
          <t>table_name="company_groups"; column_name="INN"; relation_type="ONE_TO_MANY"</t>
        </is>
      </c>
      <c r="G3" s="13" t="inlineStr">
        <is>
          <t>both</t>
        </is>
      </c>
      <c r="H3" s="13" t="n"/>
      <c r="I3" s="9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/>
      </c>
      <c r="J3" s="9">
        <f>'Constant List'!$J$2</f>
        <v/>
      </c>
      <c r="K3" s="14">
        <f>'Constant List'!$K$2</f>
        <v/>
      </c>
    </row>
    <row r="4" ht="46" customHeight="1" s="7">
      <c r="A4" s="13" t="inlineStr">
        <is>
          <t>SOGRN</t>
        </is>
      </c>
      <c r="B4" s="13" t="inlineStr">
        <is>
          <t>INT</t>
        </is>
      </c>
      <c r="C4" s="13" t="inlineStr">
        <is>
          <t>INT</t>
        </is>
      </c>
      <c r="D4" s="13" t="n"/>
      <c r="E4" s="13" t="inlineStr">
        <is>
          <t>null_ratio=0.1; min_value=1000000000000; max_value=999999999999999</t>
        </is>
      </c>
      <c r="F4" s="13" t="n"/>
      <c r="G4" s="13" t="inlineStr">
        <is>
          <t>both</t>
        </is>
      </c>
      <c r="H4" s="13" t="n"/>
      <c r="I4" s="9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/>
      </c>
      <c r="J4" s="9">
        <f>'Constant List'!$J$2</f>
        <v/>
      </c>
      <c r="K4" s="14">
        <f>'Constant List'!$K$2</f>
        <v/>
      </c>
    </row>
    <row r="5" ht="46" customHeight="1" s="7">
      <c r="A5" s="13" t="inlineStr">
        <is>
          <t>SPIN</t>
        </is>
      </c>
      <c r="B5" s="13" t="inlineStr">
        <is>
          <t>STRING</t>
        </is>
      </c>
      <c r="C5" s="13" t="inlineStr">
        <is>
          <t>STRING</t>
        </is>
      </c>
      <c r="D5" s="13" t="n"/>
      <c r="E5" s="13" t="inlineStr">
        <is>
          <t>null_ratio=0.1; length=6; case_mode="upper"; regular_expr="^[A-Z0-9]{6}$"</t>
        </is>
      </c>
      <c r="F5" s="13" t="n"/>
      <c r="G5" s="13" t="inlineStr">
        <is>
          <t>both</t>
        </is>
      </c>
      <c r="H5" s="13" t="n"/>
      <c r="I5" s="9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/>
      </c>
      <c r="J5" s="9">
        <f>'Constant List'!$J$2</f>
        <v/>
      </c>
      <c r="K5" s="14">
        <f>'Constant List'!$K$2</f>
        <v/>
      </c>
    </row>
    <row r="6" ht="28" customHeight="1" s="7">
      <c r="A6" s="13" t="inlineStr">
        <is>
          <t>SABSCODE</t>
        </is>
      </c>
      <c r="B6" s="13" t="inlineStr">
        <is>
          <t>STRING</t>
        </is>
      </c>
      <c r="C6" s="13" t="inlineStr">
        <is>
          <t>STRING</t>
        </is>
      </c>
      <c r="D6" s="13" t="n"/>
      <c r="E6" s="13" t="inlineStr">
        <is>
          <t>allowed_values=["SFAProd"]</t>
        </is>
      </c>
      <c r="F6" s="13" t="n"/>
      <c r="G6" s="13" t="inlineStr">
        <is>
          <t>both</t>
        </is>
      </c>
      <c r="H6" s="13" t="n"/>
      <c r="I6" s="9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/>
      </c>
      <c r="J6" s="9">
        <f>'Constant List'!$J$2</f>
        <v/>
      </c>
      <c r="K6" s="14">
        <f>'Constant List'!$K$2</f>
        <v/>
      </c>
    </row>
    <row r="7" ht="46" customHeight="1" s="7">
      <c r="A7" s="13" t="inlineStr">
        <is>
          <t>SPINSFA</t>
        </is>
      </c>
      <c r="B7" s="13" t="inlineStr">
        <is>
          <t>STRING</t>
        </is>
      </c>
      <c r="C7" s="13" t="inlineStr">
        <is>
          <t>STRING</t>
        </is>
      </c>
      <c r="D7" s="13" t="n"/>
      <c r="E7" s="13" t="inlineStr">
        <is>
          <t>regular_expr="^ABR-FW-SCRMFW-WORK-ACCOUNT ACB-[0-9]{1,20}$"</t>
        </is>
      </c>
      <c r="F7" s="13" t="n"/>
      <c r="G7" s="13" t="inlineStr">
        <is>
          <t>both</t>
        </is>
      </c>
      <c r="H7" s="13" t="n"/>
      <c r="I7" s="9">
        <f>IF($F7&lt;&gt;"","Для foreign_key допустим только null_ratio=0..1. gen_data_type и output_data_type выводятся из parent column.",IF($H7&lt;&gt;"","Для derive укажите output_data_type и engine_scope; gen_data_type/constraints/foreign_key оставьте пустыми.",IFERROR(VLOOKUP($B7,'Constant List'!$A$2:$B$7,2,FALSE),"Тип генерации не заполнен")))</f>
        <v/>
      </c>
      <c r="J7" s="9">
        <f>'Constant List'!$J$2</f>
        <v/>
      </c>
      <c r="K7" s="14">
        <f>'Constant List'!$K$2</f>
        <v/>
      </c>
    </row>
    <row r="8" ht="28" customHeight="1" s="7">
      <c r="A8" s="13" t="inlineStr">
        <is>
          <t>IDSUBJECT</t>
        </is>
      </c>
      <c r="B8" s="13" t="inlineStr">
        <is>
          <t>INT</t>
        </is>
      </c>
      <c r="C8" s="13" t="inlineStr">
        <is>
          <t>INT</t>
        </is>
      </c>
      <c r="D8" s="13" t="n"/>
      <c r="E8" s="13" t="inlineStr">
        <is>
          <t>min_value=1; max_value=20000000</t>
        </is>
      </c>
      <c r="F8" s="13" t="n"/>
      <c r="G8" s="13" t="inlineStr">
        <is>
          <t>both</t>
        </is>
      </c>
      <c r="H8" s="13" t="n"/>
      <c r="I8" s="9">
        <f>IF($F8&lt;&gt;"","Для foreign_key допустим только null_ratio=0..1. gen_data_type и output_data_type выводятся из parent column.",IF($H8&lt;&gt;"","Для derive укажите output_data_type и engine_scope; gen_data_type/constraints/foreign_key оставьте пустыми.",IFERROR(VLOOKUP($B8,'Constant List'!$A$2:$B$7,2,FALSE),"Тип генерации не заполнен")))</f>
        <v/>
      </c>
      <c r="J8" s="9">
        <f>'Constant List'!$J$2</f>
        <v/>
      </c>
      <c r="K8" s="14">
        <f>'Constant List'!$K$2</f>
        <v/>
      </c>
    </row>
  </sheetData>
  <autoFilter ref="A1:K8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"both,hive_only,iceberg_only"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2026-04-08T14:14:42Z</dcterms:modified>
  <cp:lastModifiedBy>Мусин Рашат Канатович</cp:lastModifiedBy>
</cp:coreProperties>
</file>