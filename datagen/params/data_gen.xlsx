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920" windowHeight="11475" tabRatio="600" firstSheet="0" activeTab="4" autoFilterDateGrouping="1"/>
  </bookViews>
  <sheets>
    <sheet name="Инструкция" sheetId="1" state="visible" r:id="rId1"/>
    <sheet name="Constant List" sheetId="2" state="hidden" r:id="rId2"/>
    <sheet name="tables" sheetId="3" state="visible" r:id="rId3"/>
    <sheet name="queries" sheetId="4" state="visible" r:id="rId4"/>
    <sheet name="company_groups" sheetId="5" state="visible" r:id="rId5"/>
    <sheet name="subjects" sheetId="6" state="visible" r:id="rId6"/>
  </sheets>
  <definedNames>
    <definedName name="BOOL_VALUES">'Constant List'!$H$2:$H$3</definedName>
    <definedName name="GEN_TYPES">'Constant List'!$A$2:$A$7</definedName>
    <definedName name="OUTPUT_TYPES_BOOLEAN">'Constant List'!$R$2:$R$4</definedName>
    <definedName name="OUTPUT_TYPES_DATE">'Constant List'!$P$2:$P$5</definedName>
    <definedName name="OUTPUT_TYPES_FLOAT">'Constant List'!$O$2:$O$4</definedName>
    <definedName name="OUTPUT_TYPES_INT">'Constant List'!$N$2:$N$5</definedName>
    <definedName name="OUTPUT_TYPES_STRING">'Constant List'!$M$2:$M$3</definedName>
    <definedName name="OUTPUT_TYPES_TIMESTAMP">'Constant List'!$Q$2:$Q$5</definedName>
    <definedName name="_xlnm._FilterDatabase" localSheetId="2" hidden="1">'tables'!$A$1:$G$200</definedName>
    <definedName name="_xlnm._FilterDatabase" localSheetId="3" hidden="1">'queries'!$A$1:$D$20</definedName>
    <definedName name="_xlnm._FilterDatabase" localSheetId="4" hidden="1">'company_groups'!$A$1:$K$6</definedName>
    <definedName name="_xlnm._FilterDatabase" localSheetId="5" hidden="1">'subjects'!$A$1:$K$8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4"/>
    </font>
    <font>
      <name val="Calibri"/>
      <b val="1"/>
      <color rgb="FF1F1F1F"/>
      <sz val="11"/>
    </font>
    <font>
      <name val="Calibri"/>
      <color rgb="FF1F1F1F"/>
      <sz val="11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color rgb="FF385723"/>
      <sz val="1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DCE6F1"/>
      </patternFill>
    </fill>
    <fill>
      <patternFill patternType="solid">
        <fgColor rgb="FF00B050"/>
      </patternFill>
    </fill>
    <fill>
      <patternFill patternType="solid">
        <fgColor rgb="FFF3FBF1"/>
      </patternFill>
    </fill>
    <fill>
      <patternFill patternType="solid">
        <fgColor rgb="FFE2F0D9"/>
      </patternFill>
    </fill>
  </fills>
  <borders count="13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9EAD3"/>
      </right>
      <top style="thin">
        <color rgb="FFD9EAD3"/>
      </top>
      <bottom style="thin">
        <color rgb="FFD9EAD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rgb="FFD9EAD3"/>
      </top>
      <bottom/>
      <diagonal/>
    </border>
    <border>
      <left/>
      <right style="thin">
        <color rgb="FFD9EAD3"/>
      </right>
      <top style="thin">
        <color rgb="FFD9EAD3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2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5" fillId="4" borderId="2" applyAlignment="1" pivotButton="0" quotePrefix="0" xfId="0">
      <alignment vertical="top" wrapText="1"/>
    </xf>
    <xf numFmtId="0" fontId="0" fillId="0" borderId="0" pivotButton="0" quotePrefix="0" xfId="0"/>
    <xf numFmtId="0" fontId="7" fillId="6" borderId="3" applyAlignment="1" pivotButton="0" quotePrefix="0" xfId="0">
      <alignment vertical="top" wrapText="1"/>
    </xf>
    <xf numFmtId="0" fontId="0" fillId="2" borderId="5" applyAlignment="1" pivotButton="0" quotePrefix="0" xfId="0">
      <alignment vertical="top" wrapText="1"/>
    </xf>
    <xf numFmtId="0" fontId="7" fillId="6" borderId="6" applyAlignment="1" pivotButton="0" quotePrefix="0" xfId="0">
      <alignment vertical="top" wrapText="1"/>
    </xf>
    <xf numFmtId="0" fontId="1" fillId="3" borderId="7" applyAlignment="1" pivotButton="0" quotePrefix="0" xfId="0">
      <alignment vertical="top" wrapText="1"/>
    </xf>
    <xf numFmtId="0" fontId="6" fillId="4" borderId="8" applyAlignment="1" pivotButton="0" quotePrefix="0" xfId="0">
      <alignment horizontal="center" vertical="center" wrapText="1"/>
    </xf>
    <xf numFmtId="0" fontId="6" fillId="4" borderId="9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4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0" borderId="12" applyAlignment="1" pivotButton="0" quotePrefix="0" xfId="0">
      <alignment vertical="top" wrapText="1"/>
    </xf>
    <xf numFmtId="0" fontId="8" fillId="0" borderId="12" applyAlignment="1" pivotButton="0" quotePrefix="0" xfId="0">
      <alignment vertical="top" wrapText="1"/>
    </xf>
    <xf numFmtId="0" fontId="6" fillId="4" borderId="12" applyAlignment="1" pivotButton="0" quotePrefix="0" xfId="0">
      <alignment vertical="top" wrapText="1"/>
    </xf>
    <xf numFmtId="0" fontId="3" fillId="5" borderId="12" applyAlignment="1" pivotButton="0" quotePrefix="0" xfId="0">
      <alignment vertical="top" wrapText="1"/>
    </xf>
    <xf numFmtId="0" fontId="4" fillId="6" borderId="12" applyAlignment="1" pivotButton="0" quotePrefix="0" xfId="0">
      <alignment vertical="top" wrapText="1"/>
    </xf>
    <xf numFmtId="0" fontId="4" fillId="0" borderId="12" applyAlignment="1" pivotButton="0" quotePrefix="0" xfId="0">
      <alignment vertical="top" wrapText="1"/>
    </xf>
    <xf numFmtId="0" fontId="0" fillId="0" borderId="12" applyAlignment="1" pivotButton="0" quotePrefix="0" xfId="0">
      <alignment vertical="top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5"/>
  <sheetViews>
    <sheetView workbookViewId="0">
      <pane ySplit="2" topLeftCell="A3" activePane="bottomLeft" state="frozen"/>
      <selection pane="bottomLeft" activeCell="A1" sqref="A1:B1"/>
    </sheetView>
  </sheetViews>
  <sheetFormatPr baseColWidth="8" defaultRowHeight="14.25"/>
  <cols>
    <col width="34" customWidth="1" style="6" min="1" max="1"/>
    <col width="120" customWidth="1" style="6" min="2" max="2"/>
  </cols>
  <sheetData>
    <row r="1" s="6">
      <c r="A1" s="14" t="inlineStr">
        <is>
          <t>Шаблон DataGen: existing Hive/Iceberg tables + compare queries</t>
        </is>
      </c>
      <c r="B1" s="15" t="n"/>
    </row>
    <row r="2" s="6">
      <c r="A2" s="16" t="inlineStr">
        <is>
          <t>Полное руководство Confluence</t>
        </is>
      </c>
      <c r="B2" s="17" t="inlineStr">
        <is>
          <t>TODO: вставить ссылку на страницу Confluence</t>
        </is>
      </c>
    </row>
    <row r="3" s="6">
      <c r="A3" s="3" t="inlineStr">
        <is>
          <t>Шаг 1</t>
        </is>
      </c>
      <c r="B3" s="4" t="inlineStr">
        <is>
          <t>На листе tables заполните table_name, total_rows, явные target tables и общий write_mode.</t>
        </is>
      </c>
    </row>
    <row r="4" s="6">
      <c r="A4" s="3" t="inlineStr">
        <is>
          <t>Шаг 2</t>
        </is>
      </c>
      <c r="B4" s="4" t="inlineStr">
        <is>
          <t>Для каждой строки из tables используйте отдельный лист с именем table_name.</t>
        </is>
      </c>
    </row>
    <row r="5" s="6">
      <c r="A5" s="3" t="inlineStr">
        <is>
          <t>Шаг 3</t>
        </is>
      </c>
      <c r="B5" s="4" t="inlineStr">
        <is>
          <t>На листе queries укажите ровно одну строку с hive_sql и iceberg_sql. Сравниваются только результаты этих запросов.</t>
        </is>
      </c>
    </row>
    <row r="6" s="6">
      <c r="A6" s="3" t="inlineStr">
        <is>
          <t>Шаг 4</t>
        </is>
      </c>
      <c r="B6" s="4" t="inlineStr">
        <is>
          <t>Если поле есть только в одном engine, не возвращайте его в compare SQL. Такие поля могут жить в parquet, но не должны участвовать в сверке.</t>
        </is>
      </c>
    </row>
    <row r="7" s="6">
      <c r="A7" s="3" t="inlineStr">
        <is>
          <t>Шаг 5</t>
        </is>
      </c>
      <c r="B7" s="4" t="inlineStr">
        <is>
          <t>DATE/TIMESTAMP колонки из результата compare автоматически исключаются перед нормализацией. Если нужно сравнивать день или месяц, приводите его в SQL к INT или STRING.</t>
        </is>
      </c>
    </row>
    <row r="8" s="6">
      <c r="A8" s="3" t="inlineStr">
        <is>
          <t>Шаг 6</t>
        </is>
      </c>
      <c r="B8" s="4" t="inlineStr">
        <is>
          <t>Дополнительные поля ignore в queries задаются строкой через запятую: alias1, alias2, alias3. Они расширяют built-in ignore словарь техполей для engine.</t>
        </is>
      </c>
    </row>
    <row r="9" s="6">
      <c r="A9" s="3" t="inlineStr">
        <is>
          <t>Шаг 7</t>
        </is>
      </c>
      <c r="B9" s="4" t="inlineStr">
        <is>
          <t>В sheet таблицы каждая строка должна быть ровно одного типа: generated, reference или derived.</t>
        </is>
      </c>
    </row>
    <row r="10" s="6">
      <c r="A10" s="3" t="inlineStr">
        <is>
          <t>Шаг 8</t>
        </is>
      </c>
      <c r="B10" s="4" t="inlineStr">
        <is>
          <t>generated: заполнены column_name + gen_data_type. output_data_type опционален, reference и derive пустые.</t>
        </is>
      </c>
    </row>
    <row r="11" s="6">
      <c r="A11" s="3" t="inlineStr">
        <is>
          <t>Шаг 9</t>
        </is>
      </c>
      <c r="B11" s="4" t="inlineStr">
        <is>
          <t>reference: заполнен только reference. gen_data_type и output_data_type не указываются вручную, constraints допускает только null_ratio.</t>
        </is>
      </c>
    </row>
    <row r="12" s="6">
      <c r="A12" s="3" t="inlineStr">
        <is>
          <t>Шаг 10</t>
        </is>
      </c>
      <c r="B12" s="4" t="inlineStr">
        <is>
          <t>derived: заполнены derive + output_data_type. gen_data_type, constraints и reference остаются пустыми.</t>
        </is>
      </c>
    </row>
    <row r="13" s="6">
      <c r="A13" s="3" t="inlineStr">
        <is>
          <t>Шаг 11</t>
        </is>
      </c>
      <c r="B13" s="4" t="inlineStr">
        <is>
          <t>engine_scope: ALL по умолчанию. HIVE_ONLY и ICEBERG_ONLY используйте только для колонок, которые реально нужны одному движку.</t>
        </is>
      </c>
    </row>
    <row r="14" s="6">
      <c r="A14" s="3" t="inlineStr">
        <is>
          <t>Шаг 12</t>
        </is>
      </c>
      <c r="B14" s="4" t="inlineStr">
        <is>
          <t>Целевые таблицы должны существовать заранее. DataGen не создаёт и не меняет физическую схему target tables; пользователь не описывает в Excel пропущенные target-колонки или правила их заполнения.</t>
        </is>
      </c>
    </row>
    <row r="15" s="6"/>
    <row r="16" s="6">
      <c r="A16" s="5" t="inlineStr">
        <is>
          <t>Колонки листа tables</t>
        </is>
      </c>
      <c r="B16" s="5" t="n"/>
    </row>
    <row r="17" s="6">
      <c r="A17" s="3" t="inlineStr">
        <is>
          <t>table_name</t>
        </is>
      </c>
      <c r="B17" s="4" t="inlineStr">
        <is>
          <t>Обязательное поле. Логическое имя таблицы в DataGen и имя sheet. Должно быть уникальным в workbook.</t>
        </is>
      </c>
    </row>
    <row r="18" s="6">
      <c r="A18" s="3" t="inlineStr">
        <is>
          <t>total_rows</t>
        </is>
      </c>
      <c r="B18" s="4" t="inlineStr">
        <is>
          <t>Обязательное поле. Количество строк для генерации.</t>
        </is>
      </c>
    </row>
    <row r="19" s="6">
      <c r="A19" s="3" t="inlineStr">
        <is>
          <t>hive_target_table</t>
        </is>
      </c>
      <c r="B19" s="4" t="inlineStr">
        <is>
          <t>Обязательное поле. Полное имя существующей Hive-таблицы.</t>
        </is>
      </c>
    </row>
    <row r="20" s="6">
      <c r="A20" s="3" t="inlineStr">
        <is>
          <t>iceberg_target_table</t>
        </is>
      </c>
      <c r="B20" s="4" t="inlineStr">
        <is>
          <t>Обязательное поле. Полное имя существующей Iceberg-таблицы.</t>
        </is>
      </c>
    </row>
    <row r="21" s="6">
      <c r="A21" s="3" t="inlineStr">
        <is>
          <t>write_mode</t>
        </is>
      </c>
      <c r="B21" s="4" t="inlineStr">
        <is>
          <t>Обязательное поле. Один общий режим записи: OVERWRITE_TABLE, OVERWRITE_PARTITIONS, APPEND.</t>
        </is>
      </c>
    </row>
    <row r="22" s="6">
      <c r="A22" s="3" t="inlineStr">
        <is>
          <t>partition metadata</t>
        </is>
      </c>
      <c r="B22" s="4" t="inlineStr">
        <is>
          <t>Не задаётся в workbook. Partition behavior определяется реальной target table и выбранным write_mode.</t>
        </is>
      </c>
    </row>
    <row r="23" s="6">
      <c r="A23" s="3" t="inlineStr"/>
      <c r="B23" s="4" t="inlineStr"/>
    </row>
    <row r="24" s="6"/>
    <row r="25" s="6">
      <c r="A25" s="5" t="inlineStr">
        <is>
          <t>Колонки листа table_name</t>
        </is>
      </c>
      <c r="B25" s="5" t="n"/>
    </row>
    <row r="26" s="6">
      <c r="A26" s="3" t="inlineStr">
        <is>
          <t>column_name</t>
        </is>
      </c>
      <c r="B26" s="4" t="inlineStr">
        <is>
          <t>Обязательное поле. Имя итоговой колонки в parquet и/или target table.</t>
        </is>
      </c>
    </row>
    <row r="27" s="6">
      <c r="A27" s="3" t="inlineStr">
        <is>
          <t>gen_data_type</t>
        </is>
      </c>
      <c r="B27" s="4" t="inlineStr">
        <is>
          <t>Обязательное только для generated-колонки. STRING, INT, FLOAT, DATE, TIMESTAMP, BOOLEAN.</t>
        </is>
      </c>
    </row>
    <row r="28" s="6">
      <c r="A28" s="3" t="inlineStr">
        <is>
          <t>output_data_type</t>
        </is>
      </c>
      <c r="B28" s="4" t="inlineStr">
        <is>
          <t>Опционально для generated, обязательно для derived, пусто для reference.</t>
        </is>
      </c>
    </row>
    <row r="29" s="6">
      <c r="A29" s="3" t="inlineStr">
        <is>
          <t>removed</t>
        </is>
      </c>
      <c r="B29" s="4" t="inlineStr">
        <is>
          <t>Не используется. Уникальность задаётся constraints.is_unique=true.</t>
        </is>
      </c>
    </row>
    <row r="30" s="6">
      <c r="A30" s="3" t="inlineStr">
        <is>
          <t>constraints</t>
        </is>
      </c>
      <c r="B30" s="4" t="inlineStr">
        <is>
          <t>Опционально только для generated. Формат key=value; key=value. Для reference допустим только null_ratio, для derived поле должно быть пустым.</t>
        </is>
      </c>
    </row>
    <row r="31" s="6">
      <c r="A31" s="3" t="inlineStr">
        <is>
          <t>reference</t>
        </is>
      </c>
      <c r="B31" s="4" t="inlineStr">
        <is>
          <t>Формат: table_name="..."; column_name="..."; cardinality="ONE_TO_MANY|ONE_TO_ONE".</t>
        </is>
      </c>
    </row>
    <row r="32" s="6">
      <c r="A32" s="3" t="inlineStr">
        <is>
          <t>engine_scope</t>
        </is>
      </c>
      <c r="B32" s="4" t="inlineStr">
        <is>
          <t>Опционально. ALL | HIVE_ONLY | ICEBERG_ONLY. Если пусто, трактуется как ALL.</t>
        </is>
      </c>
    </row>
    <row r="33" s="6">
      <c r="A33" s="3" t="inlineStr">
        <is>
          <t>derive</t>
        </is>
      </c>
      <c r="B33" s="4" t="inlineStr">
        <is>
          <t>Формат: source_column="VALUE_DAY"; rule="YYYYMMDD|YYYY|MM". Используется только для derived-колонок. source_column должен ссылаться на generated DATE/TIMESTAMP-колонку.</t>
        </is>
      </c>
    </row>
    <row r="34" s="6"/>
    <row r="35" s="6">
      <c r="A35" s="5" t="inlineStr">
        <is>
          <t>Колонки листа queries</t>
        </is>
      </c>
      <c r="B35" s="5" t="n"/>
    </row>
    <row r="36" s="6">
      <c r="A36" s="3" t="inlineStr">
        <is>
          <t>hive_sql</t>
        </is>
      </c>
      <c r="B36" s="4" t="inlineStr">
        <is>
          <t>Обязательное поле. Hive SQL, который возвращает только сравнимые result columns.</t>
        </is>
      </c>
    </row>
    <row r="37" s="6">
      <c r="A37" s="3" t="inlineStr">
        <is>
          <t>iceberg_sql</t>
        </is>
      </c>
      <c r="B37" s="4" t="inlineStr">
        <is>
          <t>Обязательное поле. Iceberg SQL с той же бизнес-семантикой, что и hive_sql.</t>
        </is>
      </c>
    </row>
    <row r="38" s="6">
      <c r="A38" s="3" t="inlineStr">
        <is>
          <t>hive_exclude_columns</t>
        </is>
      </c>
      <c r="B38" s="4" t="inlineStr">
        <is>
          <t>Опционально. Дополнительные alias-колонки через запятую, которые нужно исключить из compare результата Hive.</t>
        </is>
      </c>
    </row>
    <row r="39" s="6">
      <c r="A39" s="3" t="inlineStr">
        <is>
          <t>iceberg_exclude_columns</t>
        </is>
      </c>
      <c r="B39" s="4" t="inlineStr">
        <is>
          <t>Опционально. Дополнительные alias-колонки через запятую, которые нужно исключить из compare результата Iceberg.</t>
        </is>
      </c>
    </row>
    <row r="40" s="6"/>
    <row r="41" ht="36" customHeight="1" s="6">
      <c r="A41" s="18" t="inlineStr">
        <is>
          <t>Допустимые значения и быстрые подсказки</t>
        </is>
      </c>
      <c r="B41" s="18" t="n"/>
    </row>
    <row r="42" ht="36" customHeight="1" s="6">
      <c r="A42" s="19" t="inlineStr">
        <is>
          <t>Data types</t>
        </is>
      </c>
      <c r="B42" s="20" t="inlineStr">
        <is>
          <t>STRING — текст; INT — целое число; FLOAT — число с дробной частью; DATE — дата; TIMESTAMP — дата и время; BOOLEAN — true/false.</t>
        </is>
      </c>
    </row>
    <row r="43" ht="36" customHeight="1" s="6">
      <c r="A43" s="19" t="inlineStr">
        <is>
          <t>write_mode=OVERWRITE_TABLE</t>
        </is>
      </c>
      <c r="B43" s="20" t="inlineStr">
        <is>
          <t>Полностью перезаписывает целевую таблицу тестовыми данными.</t>
        </is>
      </c>
    </row>
    <row r="44" ht="36" customHeight="1" s="6">
      <c r="A44" s="19" t="inlineStr">
        <is>
          <t>write_mode=OVERWRITE_PARTITIONS</t>
        </is>
      </c>
      <c r="B44" s="20" t="inlineStr">
        <is>
          <t>Перезаписывает затронутые партиции. Используйте только для реально partitioned target tables.</t>
        </is>
      </c>
    </row>
    <row r="45" ht="36" customHeight="1" s="6">
      <c r="A45" s="19" t="inlineStr">
        <is>
          <t>write_mode=APPEND</t>
        </is>
      </c>
      <c r="B45" s="20" t="inlineStr">
        <is>
          <t>Добавляет строки к текущим данным. При повторных запусках возможны дубли.</t>
        </is>
      </c>
    </row>
    <row r="46" ht="36" customHeight="1" s="6">
      <c r="A46" s="16" t="inlineStr">
        <is>
          <t>engine_scope=ALL</t>
        </is>
      </c>
      <c r="B46" s="21" t="inlineStr">
        <is>
          <t>Колонка загружается и в Hive, и в Iceberg. Значение по умолчанию, если поле пустое.</t>
        </is>
      </c>
    </row>
    <row r="47" ht="36" customHeight="1" s="6">
      <c r="A47" s="16" t="inlineStr">
        <is>
          <t>engine_scope=HIVE_ONLY</t>
        </is>
      </c>
      <c r="B47" s="21" t="inlineStr">
        <is>
          <t>Колонка загружается только в Hive. Не возвращайте её в compare SQL или добавьте alias в hive_exclude_columns.</t>
        </is>
      </c>
    </row>
    <row r="48" ht="36" customHeight="1" s="6">
      <c r="A48" s="16" t="inlineStr">
        <is>
          <t>cardinality=ONE_TO_MANY</t>
        </is>
      </c>
      <c r="B48" s="21" t="inlineStr">
        <is>
          <t>Reference-колонка может повторять non-null значения родительской колонки.</t>
        </is>
      </c>
    </row>
    <row r="49" ht="36" customHeight="1" s="6">
      <c r="A49" s="16" t="inlineStr">
        <is>
          <t>cardinality=ONE_TO_ONE</t>
        </is>
      </c>
      <c r="B49" s="21" t="inlineStr">
        <is>
          <t>Reference-колонка использует distinct non-null родительские значения без повторов.</t>
        </is>
      </c>
    </row>
    <row r="50" ht="36" customHeight="1" s="6">
      <c r="A50" s="16" t="n"/>
      <c r="B50" s="21" t="n"/>
    </row>
    <row r="51" ht="36" customHeight="1" s="6">
      <c r="A51" s="16" t="inlineStr">
        <is>
          <t>derive.rule=YYYYMMDD</t>
        </is>
      </c>
      <c r="B51" s="21" t="inlineStr">
        <is>
          <t>Из DATE/TIMESTAMP строит год+месяц+день. Пример: 2025-04-16 -&gt; 20250416.</t>
        </is>
      </c>
    </row>
    <row r="52" ht="36" customHeight="1" s="6">
      <c r="A52" s="16" t="inlineStr">
        <is>
          <t>derive.rule=YYYY</t>
        </is>
      </c>
      <c r="B52" s="21" t="inlineStr">
        <is>
          <t>Из DATE/TIMESTAMP строит год. Пример: 2025-04-16 -&gt; 2025.</t>
        </is>
      </c>
    </row>
    <row r="53" ht="36" customHeight="1" s="6">
      <c r="A53" s="16" t="inlineStr">
        <is>
          <t>derive.rule=MM</t>
        </is>
      </c>
      <c r="B53" s="21" t="inlineStr">
        <is>
          <t>Из DATE/TIMESTAMP строит месяц. Для output_data_type=STRING будет "04", для INT будет 4.</t>
        </is>
      </c>
    </row>
    <row r="54" ht="36" customHeight="1" s="6">
      <c r="A54" s="16" t="inlineStr">
        <is>
          <t>constraints: null_ratio</t>
        </is>
      </c>
      <c r="B54" s="21" t="inlineStr">
        <is>
          <t>Доля NULL от 0 до 1. Пример: null_ratio=0.1.</t>
        </is>
      </c>
    </row>
    <row r="55" ht="36" customHeight="1" s="6">
      <c r="A55" s="16" t="inlineStr">
        <is>
          <t>constraints: allowed_values</t>
        </is>
      </c>
      <c r="B55" s="21" t="inlineStr">
        <is>
          <t>Фиксированный список значений. Примеры: allowed_values=[0, 1], allowed_values=["c", "cpr"].</t>
        </is>
      </c>
    </row>
    <row r="56" ht="36" customHeight="1" s="6">
      <c r="A56" s="16" t="inlineStr">
        <is>
          <t>constraints: min/max</t>
        </is>
      </c>
      <c r="B56" s="21" t="inlineStr">
        <is>
          <t>Диапазоны для INT/FLOAT/DATE. Пример: min_value=1; max_value=1000 или min_value="2025-01-01"; max_value="2025-12-31".</t>
        </is>
      </c>
    </row>
    <row r="57" ht="36" customHeight="1" s="6">
      <c r="A57" s="16" t="inlineStr">
        <is>
          <t>constraints: digits_count</t>
        </is>
      </c>
      <c r="B57" s="21" t="inlineStr">
        <is>
          <t>Количество цифр для INT. Нельзя сочетать с min_value, max_value, allowed_values. Пример: digits_count=10.</t>
        </is>
      </c>
    </row>
    <row r="58" ht="36" customHeight="1" s="6">
      <c r="A58" s="16" t="inlineStr">
        <is>
          <t>constraints: regular_expr</t>
        </is>
      </c>
      <c r="B58" s="21" t="inlineStr">
        <is>
          <t>Шаблон для STRING. Не используйте вместе с is_unique=true. Пример: regular_expr="^[A-Z0-9]{6}$".</t>
        </is>
      </c>
    </row>
    <row r="59" ht="44" customHeight="1" s="6">
      <c r="A59" s="16" t="inlineStr">
        <is>
          <t>compare: built-in technical excludes</t>
        </is>
      </c>
      <c r="B59" s="21" t="inlineStr">
        <is>
          <t>Hive: date_part, month_part, year_part, load_part. Iceberg: sys_insert_stamp, sys_update_stamp, src_modified_stamp, job_insert_id.</t>
        </is>
      </c>
    </row>
    <row r="60" ht="44" customHeight="1" s="6">
      <c r="A60" s="16" t="inlineStr">
        <is>
          <t>compare: DATE/TIMESTAMP result columns</t>
        </is>
      </c>
      <c r="B60" s="21" t="inlineStr">
        <is>
          <t>Колонки результата SQL типов date, timestamp, timestamp_ntz автоматически исключаются. Если нужно сравнивать дату, приведите её в SQL к INT или STRING.</t>
        </is>
      </c>
    </row>
    <row r="61" ht="36" customHeight="1" s="6">
      <c r="A61" s="18" t="inlineStr">
        <is>
          <t>reference + derive</t>
        </is>
      </c>
      <c r="B61" s="18" t="inlineStr">
        <is>
          <t>Одновременно запрещены.</t>
        </is>
      </c>
    </row>
    <row r="62" ht="36" customHeight="1" s="6">
      <c r="A62" s="16" t="n"/>
      <c r="B62" s="21" t="n"/>
    </row>
    <row r="63" ht="36" customHeight="1" s="6">
      <c r="A63" s="16" t="inlineStr">
        <is>
          <t>derived from derived</t>
        </is>
      </c>
      <c r="B63" s="21" t="inlineStr">
        <is>
          <t>Запрещено. source_column должен ссылаться на generated DATE/TIMESTAMP-колонку этой же таблицы.</t>
        </is>
      </c>
    </row>
    <row r="64" s="6">
      <c r="A64" s="16" t="inlineStr">
        <is>
          <t>partition columns</t>
        </is>
      </c>
      <c r="B64" s="21" t="inlineStr">
        <is>
          <t>Partition metadata не задаётся в workbook. Для OVERWRITE_PARTITIONS source of truth — реальная target table.</t>
        </is>
      </c>
    </row>
    <row r="65" s="6">
      <c r="A65" s="16" t="inlineStr">
        <is>
          <t>query compare</t>
        </is>
      </c>
      <c r="B65" s="21" t="inlineStr">
        <is>
          <t>После ignore и удаления DATE/TIMESTAMP схемы query results должны совпадать. Иначе compare падает.</t>
        </is>
      </c>
    </row>
    <row r="66" s="6"/>
    <row r="67" s="6"/>
    <row r="68" s="6"/>
    <row r="69" s="6"/>
    <row r="70" s="6"/>
    <row r="71" s="6"/>
    <row r="72" s="6"/>
    <row r="73" s="6"/>
    <row r="74" s="6"/>
    <row r="75" s="6"/>
    <row r="76" s="6"/>
    <row r="77" s="6"/>
    <row r="78" s="6"/>
    <row r="79" s="6"/>
    <row r="80" s="6"/>
    <row r="81" s="6"/>
    <row r="82" s="6"/>
    <row r="83" s="6"/>
    <row r="84" s="6"/>
    <row r="85" s="6"/>
    <row r="86" s="6"/>
    <row r="87" s="6"/>
    <row r="88" s="6"/>
    <row r="89" s="6"/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B2" sqref="B2"/>
    </sheetView>
  </sheetViews>
  <sheetFormatPr baseColWidth="8" defaultRowHeight="14.25"/>
  <cols>
    <col width="14" customWidth="1" style="6" min="1" max="1"/>
    <col width="60" customWidth="1" style="6" min="2" max="2"/>
    <col width="10" customWidth="1" style="6" min="8" max="8"/>
    <col width="30" customWidth="1" style="6" min="10" max="11"/>
    <col width="24" customWidth="1" style="6" min="12" max="12"/>
    <col width="16" customWidth="1" style="6" min="13" max="13"/>
    <col width="20" customWidth="1" style="6" min="14" max="14"/>
    <col width="24" customWidth="1" style="6" min="16" max="16"/>
    <col width="90" customWidth="1" style="6" min="17" max="17"/>
  </cols>
  <sheetData>
    <row r="1">
      <c r="A1" s="13" t="inlineStr">
        <is>
          <t>Data Type</t>
        </is>
      </c>
      <c r="B1" s="13" t="inlineStr">
        <is>
          <t>Constraint Hint</t>
        </is>
      </c>
      <c r="H1" s="13" t="inlineStr">
        <is>
          <t>Bool</t>
        </is>
      </c>
      <c r="J1" s="13" t="inlineStr">
        <is>
          <t>Reference Example</t>
        </is>
      </c>
      <c r="K1" s="13" t="inlineStr">
        <is>
          <t>Derive Example</t>
        </is>
      </c>
      <c r="L1" s="13" t="inlineStr">
        <is>
          <t>Write Mode</t>
        </is>
      </c>
      <c r="M1" s="13" t="inlineStr">
        <is>
          <t>Engine Scope</t>
        </is>
      </c>
      <c r="N1" s="13" t="inlineStr">
        <is>
          <t>Derive Rule</t>
        </is>
      </c>
      <c r="P1" s="22" t="inlineStr">
        <is>
          <t>Поле</t>
        </is>
      </c>
      <c r="Q1" s="22" t="inlineStr">
        <is>
          <t>Описание / допустимые значения</t>
        </is>
      </c>
    </row>
    <row r="2" ht="114" customHeight="1" s="6">
      <c r="A2" s="13" t="inlineStr">
        <is>
          <t>STRING</t>
        </is>
      </c>
      <c r="B2" s="13" t="inlineStr">
        <is>
          <t>Формат constraints:
null_ratio=0..1;
is_unique=true/false;
allowed_values=["A", "B"];
length=10;
character_set="letters|digits|alphanumeric";
case_mode="mixed|lower|upper";
regular_expr="^[A-Z0-9]{6}$"</t>
        </is>
      </c>
      <c r="H2" s="13" t="inlineStr">
        <is>
          <t>TRUE</t>
        </is>
      </c>
      <c r="J2" s="13" t="inlineStr">
        <is>
          <t>table_name="company_groups";
column_name="INN";
cardinality="ONE_TO_MANY|ONE_TO_ONE"</t>
        </is>
      </c>
      <c r="K2" s="13" t="inlineStr">
        <is>
          <t>source_column="VALUE_DAY";
rule="YYYYMMDD|YYYY|MM"</t>
        </is>
      </c>
      <c r="L2" s="13" t="inlineStr">
        <is>
          <t>OVERWRITE_TABLE</t>
        </is>
      </c>
      <c r="M2" s="13" t="inlineStr">
        <is>
          <t>ALL</t>
        </is>
      </c>
      <c r="N2" s="13" t="inlineStr">
        <is>
          <t>YYYYMMDD</t>
        </is>
      </c>
      <c r="P2" s="16" t="inlineStr">
        <is>
          <t>table_name</t>
        </is>
      </c>
      <c r="Q2" s="21" t="inlineStr">
        <is>
          <t>Логическое имя таблицы и имя sheet. Уникально в workbook.</t>
        </is>
      </c>
    </row>
    <row r="3" ht="85.5" customHeight="1" s="6">
      <c r="A3" s="13" t="inlineStr">
        <is>
          <t>INT</t>
        </is>
      </c>
      <c r="B3" s="13" t="inlineStr">
        <is>
          <t>Формат constraints:
null_ratio=0..1;
is_unique=true/false;
allowed_values=[1, 2, 3];
min_value=0;
max_value=1000</t>
        </is>
      </c>
      <c r="H3" s="13" t="inlineStr">
        <is>
          <t>FALSE</t>
        </is>
      </c>
      <c r="L3" s="13" t="inlineStr">
        <is>
          <t>OVERWRITE_PARTITIONS</t>
        </is>
      </c>
      <c r="M3" s="13" t="inlineStr">
        <is>
          <t>HIVE_ONLY</t>
        </is>
      </c>
      <c r="N3" s="13" t="inlineStr">
        <is>
          <t>YYYY</t>
        </is>
      </c>
      <c r="P3" s="16" t="inlineStr">
        <is>
          <t>total_rows</t>
        </is>
      </c>
      <c r="Q3" s="21" t="inlineStr">
        <is>
          <t>Количество строк для генерации. Целое число больше 0.</t>
        </is>
      </c>
    </row>
    <row r="4" ht="99.75" customHeight="1" s="6">
      <c r="A4" s="13" t="inlineStr">
        <is>
          <t>FLOAT</t>
        </is>
      </c>
      <c r="B4" s="13" t="inlineStr">
        <is>
          <t>Формат constraints:
null_ratio=0..1;
is_unique=true/false;
allowed_values=[10.5, 20.25];
min_value=0.0;
max_value=1000.0;
precision=2</t>
        </is>
      </c>
      <c r="L4" s="13" t="inlineStr">
        <is>
          <t>APPEND</t>
        </is>
      </c>
      <c r="M4" s="13" t="inlineStr">
        <is>
          <t>ICEBERG_ONLY</t>
        </is>
      </c>
      <c r="N4" s="13" t="inlineStr">
        <is>
          <t>MM</t>
        </is>
      </c>
      <c r="P4" s="16" t="inlineStr">
        <is>
          <t>write_mode</t>
        </is>
      </c>
      <c r="Q4" s="21" t="inlineStr">
        <is>
          <t>OVERWRITE_TABLE | OVERWRITE_PARTITIONS | APPEND.</t>
        </is>
      </c>
    </row>
    <row r="5" ht="99.75" customHeight="1" s="6">
      <c r="A5" s="13" t="inlineStr">
        <is>
          <t>DATE</t>
        </is>
      </c>
      <c r="B5" s="13" t="inlineStr">
        <is>
          <t>Формат constraints:
null_ratio=0..1;
is_unique=true/false;
allowed_values=["2024-01-01", "2024-01-02"];
min_value="2024-01-01";
max_value="2024-12-31";
date_format="%Y-%m-%d"</t>
        </is>
      </c>
      <c r="L5" s="13" t="n"/>
      <c r="N5" s="13" t="n"/>
      <c r="P5" s="16" t="inlineStr">
        <is>
          <t>gen_data_type</t>
        </is>
      </c>
      <c r="Q5" s="21" t="inlineStr">
        <is>
          <t>STRING | INT | FLOAT | DATE | TIMESTAMP | BOOLEAN. Только для generated.</t>
        </is>
      </c>
    </row>
    <row r="6" ht="99.75" customHeight="1" s="6">
      <c r="A6" s="13" t="inlineStr">
        <is>
          <t>TIMESTAMP</t>
        </is>
      </c>
      <c r="B6" s="13" t="inlineStr">
        <is>
          <t>Формат constraints:
null_ratio=0..1;
is_unique=true/false;
allowed_values=["2024-01-01 00:00:00", "2024-01-01 00:01:00"];
min_timestamp="2024-01-01 00:00:00";
max_timestamp="2024-12-31 23:59:59";
timestamp_format="%Y-%m-%d %H:%M:%S"</t>
        </is>
      </c>
      <c r="P6" s="16" t="inlineStr">
        <is>
          <t>output_data_type</t>
        </is>
      </c>
      <c r="Q6" s="21" t="inlineStr">
        <is>
          <t>Итоговый тип. Обязателен для derived, пустой для reference.</t>
        </is>
      </c>
    </row>
    <row r="7" ht="57" customHeight="1" s="6">
      <c r="A7" s="13" t="inlineStr">
        <is>
          <t>BOOLEAN</t>
        </is>
      </c>
      <c r="B7" s="13" t="inlineStr">
        <is>
          <t>Формат constraints:
null_ratio=0..1;
is_unique=true/false;
allowed_values=[true, false]</t>
        </is>
      </c>
      <c r="P7" s="16" t="inlineStr">
        <is>
          <t>constraints</t>
        </is>
      </c>
      <c r="Q7" s="21" t="inlineStr">
        <is>
          <t>key=value; key=value. Подробности по типам — в колонке Constraint Hint и Confluence.</t>
        </is>
      </c>
    </row>
    <row r="8" ht="44" customHeight="1" s="6">
      <c r="P8" s="16" t="inlineStr">
        <is>
          <t>reference</t>
        </is>
      </c>
      <c r="Q8" s="21" t="inlineStr">
        <is>
          <t>table_name="..."; column_name="..."; cardinality="ONE_TO_MANY|ONE_TO_ONE".</t>
        </is>
      </c>
    </row>
    <row r="9" ht="44" customHeight="1" s="6">
      <c r="P9" s="16" t="inlineStr">
        <is>
          <t>engine_scope</t>
        </is>
      </c>
      <c r="Q9" s="21" t="inlineStr">
        <is>
          <t>ALL — оба движка; HIVE_ONLY — только Hive; ICEBERG_ONLY — только Iceberg.</t>
        </is>
      </c>
    </row>
    <row r="10" ht="44" customHeight="1" s="6">
      <c r="P10" s="16" t="inlineStr">
        <is>
          <t>derive</t>
        </is>
      </c>
      <c r="Q10" s="21" t="inlineStr">
        <is>
          <t>source_column="..."; rule="YYYYMMDD|YYYY|MM". Источник — generated DATE/TIMESTAMP.</t>
        </is>
      </c>
    </row>
    <row r="11" ht="44" customHeight="1" s="6">
      <c r="P11" s="16" t="inlineStr">
        <is>
          <t>*_exclude_columns</t>
        </is>
      </c>
      <c r="Q11" s="21" t="inlineStr">
        <is>
          <t>Alias-колонки compare SQL через запятую, которые нужно исключить из сверки; дополняют built-in technical excludes.</t>
        </is>
      </c>
    </row>
    <row r="12" ht="58" customHeight="1" s="6">
      <c r="P12" s="16" t="inlineStr">
        <is>
          <t>built-in compare excludes</t>
        </is>
      </c>
      <c r="Q12" s="21" t="inlineStr">
        <is>
          <t>Hive: date_part, month_part, year_part, load_part. Iceberg: sys_insert_stamp, sys_update_stamp, src_modified_stamp, job_insert_id. DATE/TIMESTAMP result columns are auto-excluded.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2" sqref="A2"/>
    </sheetView>
  </sheetViews>
  <sheetFormatPr baseColWidth="8" defaultRowHeight="14.25"/>
  <cols>
    <col width="24" customWidth="1" style="6" min="1" max="1"/>
    <col width="14" customWidth="1" style="6" min="2" max="2"/>
    <col width="42" customWidth="1" style="6" min="3" max="4"/>
    <col width="24" customWidth="1" style="6" min="5" max="7"/>
    <col width="26" customWidth="1" style="6" min="8" max="8"/>
  </cols>
  <sheetData>
    <row r="1" ht="26" customHeight="1" s="6">
      <c r="A1" s="2" t="inlineStr">
        <is>
          <t>table_name</t>
        </is>
      </c>
      <c r="B1" s="2" t="inlineStr">
        <is>
          <t>total_rows</t>
        </is>
      </c>
      <c r="C1" s="2" t="inlineStr">
        <is>
          <t>hive_target_table</t>
        </is>
      </c>
      <c r="D1" s="2" t="inlineStr">
        <is>
          <t>iceberg_target_table</t>
        </is>
      </c>
      <c r="E1" s="2" t="inlineStr">
        <is>
          <t>write_mode</t>
        </is>
      </c>
    </row>
    <row r="2" ht="22.05" customHeight="1" s="6">
      <c r="A2" s="1" t="inlineStr">
        <is>
          <t>company_groups</t>
        </is>
      </c>
      <c r="B2" s="1" t="n">
        <v>5000</v>
      </c>
      <c r="C2" s="1" t="inlineStr">
        <is>
          <t>l_synthetic_data.analytics_db__company_groups</t>
        </is>
      </c>
      <c r="D2" s="1" t="inlineStr">
        <is>
          <t>synth_data.analytics_db__company_groups</t>
        </is>
      </c>
      <c r="E2" s="1" t="inlineStr">
        <is>
          <t>OVERWRITE_PARTITIONS</t>
        </is>
      </c>
    </row>
    <row r="3" ht="22.05" customHeight="1" s="6">
      <c r="A3" s="1" t="inlineStr">
        <is>
          <t>subjects</t>
        </is>
      </c>
      <c r="B3" s="1" t="n">
        <v>10000</v>
      </c>
      <c r="C3" s="1" t="inlineStr">
        <is>
          <t>l_synthetic_data.analytics_db__subjects</t>
        </is>
      </c>
      <c r="D3" s="1" t="inlineStr">
        <is>
          <t>synth_data.analytics_db__subjects</t>
        </is>
      </c>
      <c r="E3" s="1" t="inlineStr">
        <is>
          <t>OVERWRITE_TABLE</t>
        </is>
      </c>
    </row>
    <row r="6" ht="24" customHeight="1" s="6"/>
  </sheetData>
  <autoFilter ref="A1:G200"/>
  <dataValidations count="1">
    <dataValidation sqref="E2:E200" showDropDown="0" showInputMessage="0" showErrorMessage="0" allowBlank="0" type="list">
      <formula1>"OVERWRITE_TABLE,OVERWRITE_PARTITIONS,APPEND"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B2" sqref="B2"/>
    </sheetView>
  </sheetViews>
  <sheetFormatPr baseColWidth="8" defaultRowHeight="14.25"/>
  <cols>
    <col width="80" customWidth="1" style="6" min="1" max="2"/>
    <col width="30" customWidth="1" style="6" min="3" max="4"/>
  </cols>
  <sheetData>
    <row r="1" ht="26" customHeight="1" s="6">
      <c r="A1" s="2" t="inlineStr">
        <is>
          <t>hive_sql</t>
        </is>
      </c>
      <c r="B1" s="2" t="inlineStr">
        <is>
          <t>iceberg_sql</t>
        </is>
      </c>
      <c r="C1" s="2" t="inlineStr">
        <is>
          <t>hive_exclude_columns</t>
        </is>
      </c>
      <c r="D1" s="2" t="inlineStr">
        <is>
          <t>iceberg_exclude_columns</t>
        </is>
      </c>
    </row>
    <row r="2" ht="156.75" customHeight="1" s="6">
      <c r="A2" s="1" t="inlineStr">
        <is>
          <t>SELECT
    cg.GROUP_ID_DM,
    cg.MAIN_COMPANY_FLG_DM,
    COUNT(s.IDSUBJECT) AS subject_count,
    COUNT(s.SOGRN) AS with_ogrn_count
FROM l_synthetic_data.analytics_db__company_groups cg
JOIN l_synthetic_data.analytics_db__subjects s ON cg.INN = s.SINN
GROUP BY cg.GROUP_ID_DM, cg.MAIN_COMPANY_FLG_DM</t>
        </is>
      </c>
      <c r="B2" s="1" t="inlineStr">
        <is>
          <t>SELECT
    cg.GROUP_ID_DM,
    cg.MAIN_COMPANY_FLG_DM,
    COUNT(s.IDSUBJECT) AS subject_count,
    COUNT(s.SOGRN) AS with_ogrn_count
FROM synth_data.analytics_db__company_groups cg
JOIN synth_data.analytics_db__subjects s ON cg.INN = s.SINN
GROUP BY cg.GROUP_ID_DM, cg.MAIN_COMPANY_FLG_DM</t>
        </is>
      </c>
      <c r="C2" s="1" t="n"/>
      <c r="D2" s="1" t="n"/>
    </row>
  </sheetData>
  <autoFilter ref="A1:D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1" workbookViewId="0">
      <pane ySplit="1" topLeftCell="A2" activePane="bottomLeft" state="frozen"/>
      <selection pane="bottomLeft" activeCell="F20" sqref="F20"/>
    </sheetView>
  </sheetViews>
  <sheetFormatPr baseColWidth="8" defaultRowHeight="14.25"/>
  <cols>
    <col width="22.86328125" customWidth="1" style="6" min="1" max="1"/>
    <col width="16" customWidth="1" style="6" min="2" max="2"/>
    <col width="18" customWidth="1" style="6" min="3" max="3"/>
    <col width="14" customWidth="1" style="6" min="4" max="4"/>
    <col width="48" customWidth="1" style="6" min="5" max="5"/>
    <col width="38" customWidth="1" style="6" min="6" max="6"/>
    <col width="16" customWidth="1" style="6" min="7" max="7"/>
    <col width="36" customWidth="1" style="6" min="8" max="8"/>
    <col width="58" customWidth="1" style="6" min="9" max="9"/>
    <col width="34" customWidth="1" style="6" min="10" max="11"/>
  </cols>
  <sheetData>
    <row r="1" ht="30" customHeight="1" s="6">
      <c r="A1" s="10" t="inlineStr">
        <is>
          <t>column_name</t>
        </is>
      </c>
      <c r="B1" s="10" t="inlineStr">
        <is>
          <t>gen_data_type</t>
        </is>
      </c>
      <c r="C1" s="10" t="inlineStr">
        <is>
          <t>output_data_type</t>
        </is>
      </c>
      <c r="D1" s="10" t="n"/>
      <c r="E1" s="10" t="inlineStr">
        <is>
          <t>constraints</t>
        </is>
      </c>
      <c r="F1" s="10" t="inlineStr">
        <is>
          <t>reference</t>
        </is>
      </c>
      <c r="G1" s="10" t="inlineStr">
        <is>
          <t>engine_scope</t>
        </is>
      </c>
      <c r="H1" s="10" t="inlineStr">
        <is>
          <t>derive</t>
        </is>
      </c>
      <c r="I1" s="11" t="inlineStr">
        <is>
          <t>Подсказка</t>
        </is>
      </c>
      <c r="J1" s="11" t="inlineStr">
        <is>
          <t>Пример заполнения reference</t>
        </is>
      </c>
      <c r="K1" s="12" t="inlineStr">
        <is>
          <t>Пример заполнения derive</t>
        </is>
      </c>
    </row>
    <row r="2" ht="85.5" customHeight="1" s="6">
      <c r="A2" s="8" t="inlineStr">
        <is>
          <t>INN</t>
        </is>
      </c>
      <c r="B2" s="8" t="inlineStr">
        <is>
          <t>INT</t>
        </is>
      </c>
      <c r="C2" s="8" t="n"/>
      <c r="D2" s="8" t="n"/>
      <c r="E2" s="8" t="inlineStr">
        <is>
          <t>digits_count=10; is_unique=true</t>
        </is>
      </c>
      <c r="F2" s="8" t="n"/>
      <c r="G2" s="8" t="inlineStr">
        <is>
          <t>ALL</t>
        </is>
      </c>
      <c r="H2" s="8" t="n"/>
      <c r="I2" s="7">
        <f>IF($F2&lt;&gt;"","Для reference допустим только null_ratio=0..1. gen_data_type и output_data_type выводятся из parent column.",IF($H2&lt;&gt;"","Для derive укажите output_data_type и engine_scope; доступные rule: YYYYMMDD|YYYY|MM; gen_data_type/constraints/reference оставьте пустыми.",IFERROR(VLOOKUP($B2,'Constant List'!$A$2:$B$7,2,FALSE),"Тип генерации не заполнен")))</f>
        <v/>
      </c>
      <c r="J2" s="7">
        <f>'Constant List'!$J$2</f>
        <v/>
      </c>
      <c r="K2" s="9">
        <f>'Constant List'!$K$2</f>
        <v/>
      </c>
    </row>
    <row r="3" ht="46.05" customHeight="1" s="6">
      <c r="A3" s="8" t="inlineStr">
        <is>
          <t>GROUP_ID_DM</t>
        </is>
      </c>
      <c r="B3" s="8" t="inlineStr">
        <is>
          <t>INT</t>
        </is>
      </c>
      <c r="C3" s="8" t="n"/>
      <c r="D3" s="8" t="n"/>
      <c r="E3" s="8" t="inlineStr">
        <is>
          <t>null_ratio=0; min_value=1; max_value=6000000</t>
        </is>
      </c>
      <c r="F3" s="8" t="n"/>
      <c r="G3" s="8" t="inlineStr">
        <is>
          <t>ALL</t>
        </is>
      </c>
      <c r="H3" s="8" t="n"/>
      <c r="I3" s="7">
        <f>IF($F3&lt;&gt;"","Для reference допустим только null_ratio=0..1. gen_data_type и output_data_type выводятся из parent column.",IF($H3&lt;&gt;"","Для derive укажите output_data_type и engine_scope; доступные rule: YYYYMMDD|YYYY|MM; gen_data_type/constraints/reference оставьте пустыми.",IFERROR(VLOOKUP($B3,'Constant List'!$A$2:$B$7,2,FALSE),"Тип генерации не заполнен")))</f>
        <v/>
      </c>
      <c r="J3" s="7">
        <f>'Constant List'!$J$2</f>
        <v/>
      </c>
      <c r="K3" s="9">
        <f>'Constant List'!$K$2</f>
        <v/>
      </c>
    </row>
    <row r="4" ht="28.05" customHeight="1" s="6">
      <c r="A4" s="8" t="inlineStr">
        <is>
          <t>MAIN_COMPANY_FLG_DM</t>
        </is>
      </c>
      <c r="B4" s="8" t="inlineStr">
        <is>
          <t>INT</t>
        </is>
      </c>
      <c r="C4" s="8" t="n"/>
      <c r="D4" s="8" t="n"/>
      <c r="E4" s="8" t="inlineStr">
        <is>
          <t>allowed_values=[0, 1]</t>
        </is>
      </c>
      <c r="F4" s="8" t="n"/>
      <c r="G4" s="8" t="inlineStr">
        <is>
          <t>ALL</t>
        </is>
      </c>
      <c r="H4" s="8" t="n"/>
      <c r="I4" s="7">
        <f>IF($F4&lt;&gt;"","Для reference допустим только null_ratio=0..1. gen_data_type и output_data_type выводятся из parent column.",IF($H4&lt;&gt;"","Для derive укажите output_data_type и engine_scope; доступные rule: YYYYMMDD|YYYY|MM; gen_data_type/constraints/reference оставьте пустыми.",IFERROR(VLOOKUP($B4,'Constant List'!$A$2:$B$7,2,FALSE),"Тип генерации не заполнен")))</f>
        <v/>
      </c>
      <c r="J4" s="7">
        <f>'Constant List'!$J$2</f>
        <v/>
      </c>
      <c r="K4" s="9">
        <f>'Constant List'!$K$2</f>
        <v/>
      </c>
    </row>
    <row r="5" ht="99.75" customHeight="1" s="6">
      <c r="A5" s="8" t="inlineStr">
        <is>
          <t>VALUE_DAY</t>
        </is>
      </c>
      <c r="B5" s="8" t="inlineStr">
        <is>
          <t>DATE</t>
        </is>
      </c>
      <c r="C5" s="8" t="n"/>
      <c r="D5" s="8" t="n"/>
      <c r="E5" s="8" t="inlineStr">
        <is>
          <t>min_value="2025-01-01"; max_value="2025-12-31"</t>
        </is>
      </c>
      <c r="F5" s="8" t="n"/>
      <c r="G5" s="8" t="inlineStr">
        <is>
          <t>ALL</t>
        </is>
      </c>
      <c r="H5" s="8" t="n"/>
      <c r="I5" s="7">
        <f>IF($F5&lt;&gt;"","Для reference допустим только null_ratio=0..1. gen_data_type и output_data_type выводятся из parent column.",IF($H5&lt;&gt;"","Для derive укажите output_data_type и engine_scope; доступные rule: YYYYMMDD|YYYY|MM; gen_data_type/constraints/reference оставьте пустыми.",IFERROR(VLOOKUP($B5,'Constant List'!$A$2:$B$7,2,FALSE),"Тип генерации не заполнен")))</f>
        <v/>
      </c>
      <c r="J5" s="7">
        <f>'Constant List'!$J$2</f>
        <v/>
      </c>
      <c r="K5" s="9">
        <f>'Constant List'!$K$2</f>
        <v/>
      </c>
    </row>
    <row r="6" ht="28.05" customHeight="1" s="6">
      <c r="A6" s="8" t="inlineStr">
        <is>
          <t>DATE_PART</t>
        </is>
      </c>
      <c r="B6" s="8" t="n"/>
      <c r="C6" s="8" t="inlineStr">
        <is>
          <t>INT</t>
        </is>
      </c>
      <c r="D6" s="8" t="n"/>
      <c r="E6" s="8" t="n"/>
      <c r="F6" s="8" t="n"/>
      <c r="G6" s="8" t="inlineStr">
        <is>
          <t>HIVE_ONLY</t>
        </is>
      </c>
      <c r="H6" s="8" t="inlineStr">
        <is>
          <t>source_column="VALUE_DAY"; rule="YYYYMMDD"</t>
        </is>
      </c>
      <c r="I6" s="7">
        <f>IF($F6&lt;&gt;"","Для reference допустим только null_ratio=0..1. gen_data_type и output_data_type выводятся из parent column.",IF($H6&lt;&gt;"","Для derive укажите output_data_type и engine_scope; доступные rule: YYYYMMDD|YYYY|MM; gen_data_type/constraints/reference оставьте пустыми.",IFERROR(VLOOKUP($B6,'Constant List'!$A$2:$B$7,2,FALSE),"Тип генерации не заполнен")))</f>
        <v/>
      </c>
      <c r="J6" s="7">
        <f>'Constant List'!$J$2</f>
        <v/>
      </c>
      <c r="K6" s="9">
        <f>'Constant List'!$K$2</f>
        <v/>
      </c>
    </row>
  </sheetData>
  <autoFilter ref="A1:K6"/>
  <dataValidations count="3">
    <dataValidation sqref="B2:B500 C2:C500" showDropDown="0" showInputMessage="0" showErrorMessage="0" allowBlank="1" type="list">
      <formula1>"STRING,INT,FLOAT,DATE,TIMESTAMP,BOOLEAN"</formula1>
    </dataValidation>
    <dataValidation sqref="G2:G500" showDropDown="0" showInputMessage="0" showErrorMessage="0" allowBlank="1" type="list">
      <formula1>"ALL,HIVE_ONLY,ICEBERG_ONLY"</formula1>
    </dataValidation>
    <dataValidation sqref="D2:D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1" topLeftCell="A2" activePane="bottomLeft" state="frozen"/>
      <selection pane="bottomLeft" activeCell="B4" sqref="B4"/>
    </sheetView>
  </sheetViews>
  <sheetFormatPr baseColWidth="8" defaultRowHeight="14.25"/>
  <cols>
    <col width="20" customWidth="1" style="6" min="1" max="1"/>
    <col width="16" customWidth="1" style="6" min="2" max="2"/>
    <col width="18" customWidth="1" style="6" min="3" max="3"/>
    <col width="14" customWidth="1" style="6" min="4" max="4"/>
    <col width="48" customWidth="1" style="6" min="5" max="5"/>
    <col width="38" customWidth="1" style="6" min="6" max="6"/>
    <col width="16" customWidth="1" style="6" min="7" max="7"/>
    <col width="36" bestFit="1" customWidth="1" style="6" min="8" max="8"/>
    <col width="58" customWidth="1" style="6" min="9" max="9"/>
    <col width="34" customWidth="1" style="6" min="10" max="11"/>
  </cols>
  <sheetData>
    <row r="1" ht="30" customHeight="1" s="6">
      <c r="A1" s="10" t="inlineStr">
        <is>
          <t>column_name</t>
        </is>
      </c>
      <c r="B1" s="10" t="inlineStr">
        <is>
          <t>gen_data_type</t>
        </is>
      </c>
      <c r="C1" s="10" t="inlineStr">
        <is>
          <t>output_data_type</t>
        </is>
      </c>
      <c r="D1" s="10" t="n"/>
      <c r="E1" s="10" t="inlineStr">
        <is>
          <t>constraints</t>
        </is>
      </c>
      <c r="F1" s="10" t="inlineStr">
        <is>
          <t>reference</t>
        </is>
      </c>
      <c r="G1" s="10" t="inlineStr">
        <is>
          <t>engine_scope</t>
        </is>
      </c>
      <c r="H1" s="10" t="inlineStr">
        <is>
          <t>derive</t>
        </is>
      </c>
      <c r="I1" s="11" t="inlineStr">
        <is>
          <t>Подсказка</t>
        </is>
      </c>
      <c r="J1" s="11" t="inlineStr">
        <is>
          <t>Пример заполнения reference</t>
        </is>
      </c>
      <c r="K1" s="12" t="inlineStr">
        <is>
          <t>Пример заполнения derive</t>
        </is>
      </c>
    </row>
    <row r="2" ht="28.05" customHeight="1" s="6">
      <c r="A2" s="8" t="inlineStr">
        <is>
          <t>STYPE</t>
        </is>
      </c>
      <c r="B2" s="8" t="inlineStr">
        <is>
          <t>STRING</t>
        </is>
      </c>
      <c r="C2" s="8" t="n"/>
      <c r="D2" s="8" t="n"/>
      <c r="E2" s="8" t="inlineStr">
        <is>
          <t>allowed_values=["c", "cpr"]</t>
        </is>
      </c>
      <c r="F2" s="8" t="n"/>
      <c r="G2" s="8" t="inlineStr">
        <is>
          <t>ALL</t>
        </is>
      </c>
      <c r="H2" s="8" t="n"/>
      <c r="I2" s="7">
        <f>IF($F2&lt;&gt;"","Для reference допустим только null_ratio=0..1. gen_data_type и output_data_type выводятся из parent column.",IF($H2&lt;&gt;"","Для derive укажите output_data_type и engine_scope; доступные rule: YYYYMMDD|YYYY|MM; gen_data_type/constraints/reference оставьте пустыми.",IFERROR(VLOOKUP($B2,'Constant List'!$A$2:$B$7,2,FALSE),"Тип генерации не заполнен")))</f>
        <v/>
      </c>
      <c r="J2" s="7">
        <f>'Constant List'!$J$2</f>
        <v/>
      </c>
      <c r="K2" s="9">
        <f>'Constant List'!$K$2</f>
        <v/>
      </c>
    </row>
    <row r="3" ht="46.05" customHeight="1" s="6">
      <c r="A3" s="8" t="inlineStr">
        <is>
          <t>SINN</t>
        </is>
      </c>
      <c r="B3" s="8" t="n"/>
      <c r="C3" s="8" t="n"/>
      <c r="D3" s="8" t="n"/>
      <c r="E3" s="8" t="n"/>
      <c r="F3" s="8" t="inlineStr">
        <is>
          <t>table_name="company_groups"; column_name="INN"; cardinality="ONE_TO_MANY"</t>
        </is>
      </c>
      <c r="G3" s="8" t="inlineStr">
        <is>
          <t>ALL</t>
        </is>
      </c>
      <c r="H3" s="8" t="n"/>
      <c r="I3" s="7">
        <f>IF($F3&lt;&gt;"","Для reference допустим только null_ratio=0..1. gen_data_type и output_data_type выводятся из parent column.",IF($H3&lt;&gt;"","Для derive укажите output_data_type и engine_scope; доступные rule: YYYYMMDD|YYYY|MM; gen_data_type/constraints/reference оставьте пустыми.",IFERROR(VLOOKUP($B3,'Constant List'!$A$2:$B$7,2,FALSE),"Тип генерации не заполнен")))</f>
        <v/>
      </c>
      <c r="J3" s="7">
        <f>'Constant List'!$J$2</f>
        <v/>
      </c>
      <c r="K3" s="9">
        <f>'Constant List'!$K$2</f>
        <v/>
      </c>
    </row>
    <row r="4" ht="46.05" customHeight="1" s="6">
      <c r="A4" s="8" t="inlineStr">
        <is>
          <t>SOGRN</t>
        </is>
      </c>
      <c r="B4" s="8" t="inlineStr">
        <is>
          <t>INT</t>
        </is>
      </c>
      <c r="C4" s="8" t="n"/>
      <c r="D4" s="8" t="n"/>
      <c r="E4" s="8" t="inlineStr">
        <is>
          <t>null_ratio=0.1; min_value=1000000000000; max_value=999999999999999</t>
        </is>
      </c>
      <c r="F4" s="8" t="n"/>
      <c r="G4" s="8" t="inlineStr">
        <is>
          <t>ALL</t>
        </is>
      </c>
      <c r="H4" s="8" t="n"/>
      <c r="I4" s="7">
        <f>IF($F4&lt;&gt;"","Для reference допустим только null_ratio=0..1. gen_data_type и output_data_type выводятся из parent column.",IF($H4&lt;&gt;"","Для derive укажите output_data_type и engine_scope; доступные rule: YYYYMMDD|YYYY|MM; gen_data_type/constraints/reference оставьте пустыми.",IFERROR(VLOOKUP($B4,'Constant List'!$A$2:$B$7,2,FALSE),"Тип генерации не заполнен")))</f>
        <v/>
      </c>
      <c r="J4" s="7">
        <f>'Constant List'!$J$2</f>
        <v/>
      </c>
      <c r="K4" s="9">
        <f>'Constant List'!$K$2</f>
        <v/>
      </c>
    </row>
    <row r="5" ht="46.05" customHeight="1" s="6">
      <c r="A5" s="8" t="inlineStr">
        <is>
          <t>SPIN</t>
        </is>
      </c>
      <c r="B5" s="8" t="inlineStr">
        <is>
          <t>STRING</t>
        </is>
      </c>
      <c r="C5" s="8" t="n"/>
      <c r="D5" s="8" t="n"/>
      <c r="E5" s="8" t="inlineStr">
        <is>
          <t>null_ratio=0.1; length=6; case_mode="upper"; regular_expr="^[A-Z0-9]{6}$"</t>
        </is>
      </c>
      <c r="F5" s="8" t="n"/>
      <c r="G5" s="8" t="inlineStr">
        <is>
          <t>ALL</t>
        </is>
      </c>
      <c r="H5" s="8" t="n"/>
      <c r="I5" s="7">
        <f>IF($F5&lt;&gt;"","Для reference допустим только null_ratio=0..1. gen_data_type и output_data_type выводятся из parent column.",IF($H5&lt;&gt;"","Для derive укажите output_data_type и engine_scope; доступные rule: YYYYMMDD|YYYY|MM; gen_data_type/constraints/reference оставьте пустыми.",IFERROR(VLOOKUP($B5,'Constant List'!$A$2:$B$7,2,FALSE),"Тип генерации не заполнен")))</f>
        <v/>
      </c>
      <c r="J5" s="7">
        <f>'Constant List'!$J$2</f>
        <v/>
      </c>
      <c r="K5" s="9">
        <f>'Constant List'!$K$2</f>
        <v/>
      </c>
    </row>
    <row r="6" ht="28.05" customHeight="1" s="6">
      <c r="A6" s="8" t="inlineStr">
        <is>
          <t>SABSCODE</t>
        </is>
      </c>
      <c r="B6" s="8" t="inlineStr">
        <is>
          <t>STRING</t>
        </is>
      </c>
      <c r="C6" s="8" t="n"/>
      <c r="D6" s="8" t="n"/>
      <c r="E6" s="8" t="inlineStr">
        <is>
          <t>allowed_values=["SFAProd"]</t>
        </is>
      </c>
      <c r="F6" s="8" t="n"/>
      <c r="G6" s="8" t="inlineStr">
        <is>
          <t>ALL</t>
        </is>
      </c>
      <c r="H6" s="8" t="n"/>
      <c r="I6" s="7">
        <f>IF($F6&lt;&gt;"","Для reference допустим только null_ratio=0..1. gen_data_type и output_data_type выводятся из parent column.",IF($H6&lt;&gt;"","Для derive укажите output_data_type и engine_scope; доступные rule: YYYYMMDD|YYYY|MM; gen_data_type/constraints/reference оставьте пустыми.",IFERROR(VLOOKUP($B6,'Constant List'!$A$2:$B$7,2,FALSE),"Тип генерации не заполнен")))</f>
        <v/>
      </c>
      <c r="J6" s="7">
        <f>'Constant List'!$J$2</f>
        <v/>
      </c>
      <c r="K6" s="9">
        <f>'Constant List'!$K$2</f>
        <v/>
      </c>
    </row>
    <row r="7" ht="46.05" customHeight="1" s="6">
      <c r="A7" s="8" t="inlineStr">
        <is>
          <t>SPINSFA</t>
        </is>
      </c>
      <c r="B7" s="8" t="inlineStr">
        <is>
          <t>STRING</t>
        </is>
      </c>
      <c r="C7" s="8" t="n"/>
      <c r="D7" s="8" t="n"/>
      <c r="E7" s="8" t="inlineStr">
        <is>
          <t>regular_expr="^ABR-FW-SCRMFW-WORK-ACCOUNT ACB-[0-9]{1,20}$"</t>
        </is>
      </c>
      <c r="F7" s="8" t="n"/>
      <c r="G7" s="8" t="inlineStr">
        <is>
          <t>ALL</t>
        </is>
      </c>
      <c r="H7" s="8" t="n"/>
      <c r="I7" s="7">
        <f>IF($F7&lt;&gt;"","Для reference допустим только null_ratio=0..1. gen_data_type и output_data_type выводятся из parent column.",IF($H7&lt;&gt;"","Для derive укажите output_data_type и engine_scope; доступные rule: YYYYMMDD|YYYY|MM; gen_data_type/constraints/reference оставьте пустыми.",IFERROR(VLOOKUP($B7,'Constant List'!$A$2:$B$7,2,FALSE),"Тип генерации не заполнен")))</f>
        <v/>
      </c>
      <c r="J7" s="7">
        <f>'Constant List'!$J$2</f>
        <v/>
      </c>
      <c r="K7" s="9">
        <f>'Constant List'!$K$2</f>
        <v/>
      </c>
    </row>
    <row r="8" ht="28.05" customHeight="1" s="6">
      <c r="A8" s="8" t="inlineStr">
        <is>
          <t>IDSUBJECT</t>
        </is>
      </c>
      <c r="B8" s="8" t="inlineStr">
        <is>
          <t>INT</t>
        </is>
      </c>
      <c r="C8" s="8" t="n"/>
      <c r="D8" s="8" t="n"/>
      <c r="E8" s="8" t="inlineStr">
        <is>
          <t>min_value=1; max_value=20000000</t>
        </is>
      </c>
      <c r="F8" s="8" t="n"/>
      <c r="G8" s="8" t="inlineStr">
        <is>
          <t>ALL</t>
        </is>
      </c>
      <c r="H8" s="8" t="n"/>
      <c r="I8" s="7">
        <f>IF($F8&lt;&gt;"","Для reference допустим только null_ratio=0..1. gen_data_type и output_data_type выводятся из parent column.",IF($H8&lt;&gt;"","Для derive укажите output_data_type и engine_scope; доступные rule: YYYYMMDD|YYYY|MM; gen_data_type/constraints/reference оставьте пустыми.",IFERROR(VLOOKUP($B8,'Constant List'!$A$2:$B$7,2,FALSE),"Тип генерации не заполнен")))</f>
        <v/>
      </c>
      <c r="J8" s="7">
        <f>'Constant List'!$J$2</f>
        <v/>
      </c>
      <c r="K8" s="9">
        <f>'Constant List'!$K$2</f>
        <v/>
      </c>
    </row>
  </sheetData>
  <autoFilter ref="A1:K8"/>
  <dataValidations count="3">
    <dataValidation sqref="B2:B500 C2:C500" showDropDown="0" showInputMessage="0" showErrorMessage="0" allowBlank="1" type="list">
      <formula1>"STRING,INT,FLOAT,DATE,TIMESTAMP,BOOLEAN"</formula1>
    </dataValidation>
    <dataValidation sqref="G2:G500" showDropDown="0" showInputMessage="0" showErrorMessage="0" allowBlank="1" type="list">
      <formula1>"ALL,HIVE_ONLY,ICEBERG_ONLY"</formula1>
    </dataValidation>
    <dataValidation sqref="D2:D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2026-03-25T11:28:20Z</dcterms:created>
  <dcterms:modified xsi:type="dcterms:W3CDTF">2026-04-16T16:59:19Z</dcterms:modified>
  <cp:lastModifiedBy>Мусин Рашат Канатович</cp:lastModifiedBy>
</cp:coreProperties>
</file>