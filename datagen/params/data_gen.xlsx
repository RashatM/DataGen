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/>
  <mc:AlternateContent xmlns:mc="http://schemas.openxmlformats.org/markup-compatibility/2006">
    <mc:Choice Requires="x15">
      <x15ac:absPath xmlns:x15ac="http://schemas.microsoft.com/office/spreadsheetml/2010/11/ac" url="C:\Users\U_M1JY5\Downloads\"/>
    </mc:Choice>
  </mc:AlternateContent>
  <xr:revisionPtr revIDLastSave="0" documentId="13_ncr:1_{CC8C1F3B-B259-4B7C-93CF-C5173EB6F876}" xr6:coauthVersionLast="36" xr6:coauthVersionMax="36" xr10:uidLastSave="{00000000-0000-0000-0000-000000000000}"/>
  <bookViews>
    <workbookView xWindow="0" yWindow="0" windowWidth="25920" windowHeight="11475" xr2:uid="{00000000-000D-0000-FFFF-FFFF00000000}"/>
  </bookViews>
  <sheets>
    <sheet name="Инструкция" sheetId="1" r:id="rId1"/>
    <sheet name="Constant List" sheetId="2" state="hidden" r:id="rId2"/>
    <sheet name="tables" sheetId="3" r:id="rId3"/>
    <sheet name="queries" sheetId="4" r:id="rId4"/>
    <sheet name="company_groups" sheetId="5" r:id="rId5"/>
    <sheet name="subjects" sheetId="6" r:id="rId6"/>
  </sheets>
  <definedNames>
    <definedName name="_xlnm._FilterDatabase" localSheetId="4" hidden="1">company_groups!$A$1:$J$6</definedName>
    <definedName name="_xlnm._FilterDatabase" localSheetId="3" hidden="1">queries!$A$1:$D$20</definedName>
    <definedName name="_xlnm._FilterDatabase" localSheetId="5" hidden="1">subjects!$A$1:$J$7</definedName>
    <definedName name="_xlnm._FilterDatabase" localSheetId="2" hidden="1">tables!$A$1:$G$200</definedName>
    <definedName name="BOOL_VALUES">'Constant List'!$H$2:$H$3</definedName>
    <definedName name="GEN_TYPES">'Constant List'!$A$2:$A$7</definedName>
    <definedName name="OUTPUT_TYPES_BOOLEAN">'Constant List'!$R$2:$R$4</definedName>
    <definedName name="OUTPUT_TYPES_DATE">'Constant List'!$P$2:$P$5</definedName>
    <definedName name="OUTPUT_TYPES_FLOAT">'Constant List'!$O$2:$O$4</definedName>
    <definedName name="OUTPUT_TYPES_INT">'Constant List'!$N$2:$N$5</definedName>
    <definedName name="OUTPUT_TYPES_STRING">'Constant List'!$M$2:$M$3</definedName>
    <definedName name="OUTPUT_TYPES_TIMESTAMP">'Constant List'!$Q$2:$Q$5</definedName>
  </definedNames>
  <calcPr calcId="191029"/>
</workbook>
</file>

<file path=xl/calcChain.xml><?xml version="1.0" encoding="utf-8"?>
<calcChain xmlns="http://schemas.openxmlformats.org/spreadsheetml/2006/main">
  <c r="J7" i="6" l="1"/>
  <c r="I7" i="6"/>
  <c r="H7" i="6"/>
  <c r="J6" i="6"/>
  <c r="I6" i="6"/>
  <c r="H6" i="6"/>
  <c r="J5" i="6"/>
  <c r="I5" i="6"/>
  <c r="H5" i="6"/>
  <c r="J4" i="6"/>
  <c r="I4" i="6"/>
  <c r="H4" i="6"/>
  <c r="J3" i="6"/>
  <c r="I3" i="6"/>
  <c r="H3" i="6"/>
  <c r="J2" i="6"/>
  <c r="I2" i="6"/>
  <c r="H2" i="6"/>
  <c r="J6" i="5"/>
  <c r="I6" i="5"/>
  <c r="H6" i="5"/>
  <c r="J5" i="5"/>
  <c r="I5" i="5"/>
  <c r="H5" i="5"/>
  <c r="J4" i="5"/>
  <c r="I4" i="5"/>
  <c r="H4" i="5"/>
  <c r="J3" i="5"/>
  <c r="I3" i="5"/>
  <c r="H3" i="5"/>
  <c r="J2" i="5"/>
  <c r="I2" i="5"/>
  <c r="H2" i="5"/>
</calcChain>
</file>

<file path=xl/sharedStrings.xml><?xml version="1.0" encoding="utf-8"?>
<sst xmlns="http://schemas.openxmlformats.org/spreadsheetml/2006/main" count="246" uniqueCount="188">
  <si>
    <t>Шаблон DataGen: existing Hive/Iceberg tables + compare queries</t>
  </si>
  <si>
    <t>Полное руководство Confluence</t>
  </si>
  <si>
    <t>Шаг 1</t>
  </si>
  <si>
    <t>Шаг 2</t>
  </si>
  <si>
    <t>Шаг 3</t>
  </si>
  <si>
    <t>Шаг 4</t>
  </si>
  <si>
    <t>Шаг 5</t>
  </si>
  <si>
    <t>Шаг 6</t>
  </si>
  <si>
    <t>Шаг 7</t>
  </si>
  <si>
    <t>Шаг 8</t>
  </si>
  <si>
    <t>Шаг 9</t>
  </si>
  <si>
    <t>Шаг 10</t>
  </si>
  <si>
    <t>Шаг 11</t>
  </si>
  <si>
    <t>Шаг 12</t>
  </si>
  <si>
    <t>Колонки листа tables</t>
  </si>
  <si>
    <t>table_name</t>
  </si>
  <si>
    <t>Обязательное поле. Логическое имя таблицы в DataGen и имя sheet. Должно быть уникальным в workbook.</t>
  </si>
  <si>
    <t>total_rows</t>
  </si>
  <si>
    <t>Обязательное поле. Количество строк для генерации.</t>
  </si>
  <si>
    <t>hive_target_table</t>
  </si>
  <si>
    <t>Обязательное поле. Полное имя существующей Hive-таблицы.</t>
  </si>
  <si>
    <t>iceberg_target_table</t>
  </si>
  <si>
    <t>Обязательное поле. Полное имя существующей Iceberg-таблицы.</t>
  </si>
  <si>
    <t>write_mode</t>
  </si>
  <si>
    <t>Обязательное поле. Один общий режим записи: OVERWRITE_TABLE, OVERWRITE_PARTITIONS, APPEND.</t>
  </si>
  <si>
    <t>Колонки листа table_name</t>
  </si>
  <si>
    <t>column_name</t>
  </si>
  <si>
    <t>Обязательное поле. Имя итоговой колонки в parquet и/или target table.</t>
  </si>
  <si>
    <t>gen_data_type</t>
  </si>
  <si>
    <t>Обязательное только для generated-колонки. STRING, INT, FLOAT, DATE, TIMESTAMP, BOOLEAN.</t>
  </si>
  <si>
    <t>output_data_type</t>
  </si>
  <si>
    <t>Опционально для generated, обязательно для derived, пусто для reference.</t>
  </si>
  <si>
    <t>removed</t>
  </si>
  <si>
    <t>Не используется. Уникальность задаётся constraints.is_unique=true.</t>
  </si>
  <si>
    <t>constraints</t>
  </si>
  <si>
    <t>Опционально только для generated. Формат key=value; key=value. Для reference допустим только null_ratio, для derived поле должно быть пустым.</t>
  </si>
  <si>
    <t>reference</t>
  </si>
  <si>
    <t>Формат: table_name="..."; column_name="..."; cardinality="ONE_TO_MANY|ONE_TO_ONE".</t>
  </si>
  <si>
    <t>engine_scope</t>
  </si>
  <si>
    <t>Опционально. ALL | HIVE_ONLY | ICEBERG_ONLY. Если пусто, трактуется как ALL.</t>
  </si>
  <si>
    <t>derive</t>
  </si>
  <si>
    <t>Формат: source_column="VALUE_DAY"; rule="YYYYMMDD|YYYY|MM". Используется только для derived-колонок. source_column должен ссылаться на generated DATE/TIMESTAMP-колонку.</t>
  </si>
  <si>
    <t>Колонки листа queries</t>
  </si>
  <si>
    <t>hive_sql</t>
  </si>
  <si>
    <t>Обязательное поле. Hive SQL, который возвращает только сравнимые result columns.</t>
  </si>
  <si>
    <t>iceberg_sql</t>
  </si>
  <si>
    <t>Обязательное поле. Iceberg SQL с той же бизнес-семантикой, что и hive_sql.</t>
  </si>
  <si>
    <t>hive_exclude_columns</t>
  </si>
  <si>
    <t>Опционально. Дополнительные alias-колонки через запятую, которые нужно исключить из compare результата Hive.</t>
  </si>
  <si>
    <t>iceberg_exclude_columns</t>
  </si>
  <si>
    <t>Опционально. Дополнительные alias-колонки через запятую, которые нужно исключить из compare результата Iceberg.</t>
  </si>
  <si>
    <t>Допустимые значения и быстрые подсказки</t>
  </si>
  <si>
    <t>Data types</t>
  </si>
  <si>
    <t>STRING — текст; INT — целое число; FLOAT — число с дробной частью; DATE — дата; TIMESTAMP — дата и время; BOOLEAN — true/false.</t>
  </si>
  <si>
    <t>write_mode=OVERWRITE_TABLE</t>
  </si>
  <si>
    <t>Полностью перезаписывает целевую таблицу тестовыми данными.</t>
  </si>
  <si>
    <t>write_mode=OVERWRITE_PARTITIONS</t>
  </si>
  <si>
    <t>Перезаписывает затронутые партиции. Используйте только для реально partitioned target tables.</t>
  </si>
  <si>
    <t>write_mode=APPEND</t>
  </si>
  <si>
    <t>Добавляет строки к текущим данным. При повторных запусках возможны дубли.</t>
  </si>
  <si>
    <t>engine_scope=ALL</t>
  </si>
  <si>
    <t>Колонка загружается и в Hive, и в Iceberg. Значение по умолчанию, если поле пустое.</t>
  </si>
  <si>
    <t>engine_scope=HIVE_ONLY</t>
  </si>
  <si>
    <t>Колонка загружается только в Hive. Не возвращайте её в compare SQL или добавьте alias в hive_exclude_columns.</t>
  </si>
  <si>
    <t>cardinality=ONE_TO_MANY</t>
  </si>
  <si>
    <t>Reference-колонка может повторять non-null значения родительской колонки.</t>
  </si>
  <si>
    <t>cardinality=ONE_TO_ONE</t>
  </si>
  <si>
    <t>Reference-колонка использует distinct non-null родительские значения без повторов.</t>
  </si>
  <si>
    <t>derive.rule=YYYYMMDD</t>
  </si>
  <si>
    <t>Из DATE/TIMESTAMP строит год+месяц+день. Пример: 2025-04-16 -&gt; 20250416.</t>
  </si>
  <si>
    <t>derive.rule=YYYY</t>
  </si>
  <si>
    <t>Из DATE/TIMESTAMP строит год. Пример: 2025-04-16 -&gt; 2025.</t>
  </si>
  <si>
    <t>derive.rule=MM</t>
  </si>
  <si>
    <t>Из DATE/TIMESTAMP строит месяц. Для output_data_type=STRING будет "04", для INT будет 4.</t>
  </si>
  <si>
    <t>constraints: null_ratio</t>
  </si>
  <si>
    <t>Доля NULL от 0 до 1. Пример: null_ratio=0.1.</t>
  </si>
  <si>
    <t>constraints: allowed_values</t>
  </si>
  <si>
    <t>Фиксированный список значений. Примеры: allowed_values=[0, 1], allowed_values=["c", "cpr"].</t>
  </si>
  <si>
    <t>constraints: min/max</t>
  </si>
  <si>
    <t>Диапазоны для INT/FLOAT/DATE. Пример: min_value=1; max_value=1000 или min_value="2025-01-01"; max_value="2025-12-31".</t>
  </si>
  <si>
    <t>constraints: digits_count</t>
  </si>
  <si>
    <t>Количество цифр для INT. Нельзя сочетать с min_value, max_value, allowed_values. Пример: digits_count=10.</t>
  </si>
  <si>
    <t>constraints: regular_expr</t>
  </si>
  <si>
    <t>Шаблон для STRING. Не используйте вместе с is_unique=true. Пример: regular_expr="^[A-Z0-9]{6}$".</t>
  </si>
  <si>
    <t>compare: built-in technical excludes</t>
  </si>
  <si>
    <t>Hive: date_part, month_part, year_part, load_part. Iceberg: sys_insert_stamp, sys_update_stamp, src_modified_stamp, job_insert_id.</t>
  </si>
  <si>
    <t>compare: DATE/TIMESTAMP result columns</t>
  </si>
  <si>
    <t>Колонки результата SQL типов date, timestamp, timestamp_ntz автоматически исключаются. Если нужно сравнивать дату, приведите её в SQL к INT или STRING.</t>
  </si>
  <si>
    <t>reference + derive</t>
  </si>
  <si>
    <t>Одновременно запрещены.</t>
  </si>
  <si>
    <t>derived from derived</t>
  </si>
  <si>
    <t>Запрещено. source_column должен ссылаться на generated DATE/TIMESTAMP-колонку этой же таблицы.</t>
  </si>
  <si>
    <t>query compare</t>
  </si>
  <si>
    <t>После ignore и удаления DATE/TIMESTAMP схемы query results должны совпадать. Иначе compare падает.</t>
  </si>
  <si>
    <t>Data Type</t>
  </si>
  <si>
    <t>Constraint Hint</t>
  </si>
  <si>
    <t>Bool</t>
  </si>
  <si>
    <t>Reference Example</t>
  </si>
  <si>
    <t>Derive Example</t>
  </si>
  <si>
    <t>Write Mode</t>
  </si>
  <si>
    <t>Engine Scope</t>
  </si>
  <si>
    <t>Derive Rule</t>
  </si>
  <si>
    <t>Поле</t>
  </si>
  <si>
    <t>Описание / допустимые значения</t>
  </si>
  <si>
    <t>STRING</t>
  </si>
  <si>
    <t>Формат constraints:
null_ratio=0..1;
is_unique=true/false;
allowed_values=["A", "B"];
length=10;
character_set="letters|digits|alphanumeric";
case_mode="mixed|lower|upper";
regular_expr="^[A-Z0-9]{6}$"</t>
  </si>
  <si>
    <t>TRUE</t>
  </si>
  <si>
    <t>table_name="company_groups";
column_name="INN";
cardinality="ONE_TO_MANY|ONE_TO_ONE"</t>
  </si>
  <si>
    <t>source_column="VALUE_DAY";
rule="YYYYMMDD|YYYY|MM"</t>
  </si>
  <si>
    <t>OVERWRITE_TABLE</t>
  </si>
  <si>
    <t>ALL</t>
  </si>
  <si>
    <t>YYYYMMDD</t>
  </si>
  <si>
    <t>Логическое имя таблицы и имя sheet. Уникально в workbook.</t>
  </si>
  <si>
    <t>INT</t>
  </si>
  <si>
    <t>Формат constraints:
null_ratio=0..1;
is_unique=true/false;
allowed_values=[1, 2, 3];
min_value=0;
max_value=1000</t>
  </si>
  <si>
    <t>FALSE</t>
  </si>
  <si>
    <t>OVERWRITE_PARTITIONS</t>
  </si>
  <si>
    <t>HIVE_ONLY</t>
  </si>
  <si>
    <t>YYYY</t>
  </si>
  <si>
    <t>Количество строк для генерации. Целое число больше 0.</t>
  </si>
  <si>
    <t>FLOAT</t>
  </si>
  <si>
    <t>Формат constraints:
null_ratio=0..1;
is_unique=true/false;
allowed_values=[10.5, 20.25];
min_value=0.0;
max_value=1000.0;
precision=2</t>
  </si>
  <si>
    <t>APPEND</t>
  </si>
  <si>
    <t>ICEBERG_ONLY</t>
  </si>
  <si>
    <t>MM</t>
  </si>
  <si>
    <t>OVERWRITE_TABLE | OVERWRITE_PARTITIONS | APPEND.</t>
  </si>
  <si>
    <t>DATE</t>
  </si>
  <si>
    <t>Формат constraints:
null_ratio=0..1;
is_unique=true/false;
allowed_values=["2024-01-01", "2024-01-02"];
min_value="2024-01-01";
max_value="2024-12-31";
date_format="%Y-%m-%d"</t>
  </si>
  <si>
    <t>STRING | INT | FLOAT | DATE | TIMESTAMP | BOOLEAN. Только для generated.</t>
  </si>
  <si>
    <t>TIMESTAMP</t>
  </si>
  <si>
    <t>Формат constraints:
null_ratio=0..1;
is_unique=true/false;
allowed_values=["2024-01-01 00:00:00", "2024-01-01 00:01:00"];
min_timestamp="2024-01-01 00:00:00";
max_timestamp="2024-12-31 23:59:59";
timestamp_format="%Y-%m-%d %H:%M:%S"</t>
  </si>
  <si>
    <t>Итоговый тип. Обязателен для derived, пустой для reference.</t>
  </si>
  <si>
    <t>BOOLEAN</t>
  </si>
  <si>
    <t>Формат constraints:
null_ratio=0..1;
is_unique=true/false;
allowed_values=[true, false]</t>
  </si>
  <si>
    <t>key=value; key=value. Подробности по типам — в колонке Constraint Hint и Confluence.</t>
  </si>
  <si>
    <t>table_name="..."; column_name="..."; cardinality="ONE_TO_MANY|ONE_TO_ONE".</t>
  </si>
  <si>
    <t>ALL — оба движка; HIVE_ONLY — только Hive; ICEBERG_ONLY — только Iceberg.</t>
  </si>
  <si>
    <t>source_column="..."; rule="YYYYMMDD|YYYY|MM". Источник — generated DATE/TIMESTAMP.</t>
  </si>
  <si>
    <t>*_exclude_columns</t>
  </si>
  <si>
    <t>Alias-колонки compare SQL через запятую, которые нужно исключить из сверки; дополняют built-in technical excludes.</t>
  </si>
  <si>
    <t>built-in compare excludes</t>
  </si>
  <si>
    <t>Hive: date_part, month_part, year_part, load_part. Iceberg: sys_insert_stamp, sys_update_stamp, src_modified_stamp, job_insert_id. DATE/TIMESTAMP result columns are auto-excluded.</t>
  </si>
  <si>
    <t>company_groups</t>
  </si>
  <si>
    <t>l_synthetic_data.analytics_db__company_groups</t>
  </si>
  <si>
    <t>synth_data.analytics_db__company_groups</t>
  </si>
  <si>
    <t>subjects</t>
  </si>
  <si>
    <t>l_synthetic_data.analytics_db__subjects</t>
  </si>
  <si>
    <t>synth_data.analytics_db__subjects</t>
  </si>
  <si>
    <t>SELECT
    cg.GROUP_ID_DM,
    cg.MAIN_COMPANY_FLG_DM,
    COUNT(s.IDSUBJECT) AS subject_count,
    COUNT(s.SOGRN) AS with_ogrn_count
FROM l_synthetic_data.analytics_db__company_groups cg
JOIN l_synthetic_data.analytics_db__subjects s ON cg.INN = s.SINN
GROUP BY cg.GROUP_ID_DM, cg.MAIN_COMPANY_FLG_DM</t>
  </si>
  <si>
    <t>SELECT
    cg.GROUP_ID_DM,
    cg.MAIN_COMPANY_FLG_DM,
    COUNT(s.IDSUBJECT) AS subject_count,
    COUNT(s.SOGRN) AS with_ogrn_count
FROM synth_data.analytics_db__company_groups cg
JOIN synth_data.analytics_db__subjects s ON cg.INN = s.SINN
GROUP BY cg.GROUP_ID_DM, cg.MAIN_COMPANY_FLG_DM</t>
  </si>
  <si>
    <t>Подсказка</t>
  </si>
  <si>
    <t>Пример заполнения reference</t>
  </si>
  <si>
    <t>Пример заполнения derive</t>
  </si>
  <si>
    <t>INN</t>
  </si>
  <si>
    <t>digits_count=10; is_unique=true</t>
  </si>
  <si>
    <t>GROUP_ID_DM</t>
  </si>
  <si>
    <t>null_ratio=0; min_value=1; max_value=6000000</t>
  </si>
  <si>
    <t>MAIN_COMPANY_FLG_DM</t>
  </si>
  <si>
    <t>allowed_values=[0, 1]</t>
  </si>
  <si>
    <t>VALUE_DAY</t>
  </si>
  <si>
    <t>min_value="2025-01-01"; max_value="2025-12-31"</t>
  </si>
  <si>
    <t>DATE_PART</t>
  </si>
  <si>
    <t>source_column="VALUE_DAY"; rule="YYYYMMDD"</t>
  </si>
  <si>
    <t>STYPE</t>
  </si>
  <si>
    <t>allowed_values=["c", "cpr"]</t>
  </si>
  <si>
    <t>SINN</t>
  </si>
  <si>
    <t>table_name="company_groups"; column_name="INN"; cardinality="ONE_TO_MANY"</t>
  </si>
  <si>
    <t>SOGRN</t>
  </si>
  <si>
    <t>null_ratio=0.1; min_value=1000000000000; max_value=999999999999999</t>
  </si>
  <si>
    <t>SPIN</t>
  </si>
  <si>
    <t>null_ratio=0.1; length=6; case_mode="upper"; regular_expr="^[A-Z0-9]{6}$"</t>
  </si>
  <si>
    <t>SPINSFA</t>
  </si>
  <si>
    <t>regular_expr="^ABR-FW-SCRMFW-WORK-ACCOUNT ACB-[0-9]{1,20}$"</t>
  </si>
  <si>
    <t>IDSUBJECT</t>
  </si>
  <si>
    <t>min_value=1; max_value=20000000</t>
  </si>
  <si>
    <t>https://confluence.moscow.alfaintra.net/spaces/DLPLATFORM/pages/3292197773/DataGen+-+%D0%98%D0%BD%D1%81%D1%82%D1%80%D1%83%D0%BC%D0%B5%D0%BD%D1%82+%D1%82%D0%B5%D1%81%D1%82%D0%B8%D1%80%D0%BE%D0%B2%D0%B0%D0%BD%D0%B8%D1%8F+%D0%B2%D0%B8%D1%82%D1%80%D0%B8%D0%BD+BDA+%D0%B8+BDP</t>
  </si>
  <si>
    <t>Откройте tables и заполните table_name, total_rows, hive_target_table, iceberg_target_table, write_mode.</t>
  </si>
  <si>
    <t>Для каждой строки tables создайте или откройте лист с именем из table_name.</t>
  </si>
  <si>
    <t>На листе таблицы опишите только колонки, нужные для генерации, связей, партиций или SQL-сверки.</t>
  </si>
  <si>
    <t>Не добавляйте все физические колонки target table: пропущенные nullable поля загрузчик заполнит NULL, обязательные пропущенные поля — техническим значением по типу.</t>
  </si>
  <si>
    <t>Для generated-колонки заполните column_name и gen_data_type; output_data_type укажите только если нужен другой итоговый тип.</t>
  </si>
  <si>
    <t>Для reference-колонки заполните только reference; gen_data_type и output_data_type оставьте пустыми.</t>
  </si>
  <si>
    <t>Для derived-колонки заполните derive и output_data_type; gen_data_type, constraints, reference оставьте пустыми.</t>
  </si>
  <si>
    <t>Укажите engine_scope, только если колонка нужна одному движку; иначе оставьте пусто или ALL.</t>
  </si>
  <si>
    <t>Перейдите на queries и заполните одну пару hive_sql / iceberg_sql.</t>
  </si>
  <si>
    <t>Верните в SQL только сравнимые бизнес-колонки; лишнее исключите через hive_exclude_columns / iceberg_exclude_columns.</t>
  </si>
  <si>
    <t>Не сравнивайте DATE/TIMESTAMP напрямую: приведите дату к INT или STRING, если она нужна в результате.</t>
  </si>
  <si>
    <t>Запустите DataGen и проверьте отчет: MATCH означает совпадение, MISMATCH — есть различия.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</si>
</sst>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family val="2"/>
      <scheme val="minor"/>
    </font>
    <font>
      <b/>
      <sz val="11"/>
      <name val="Calibri"/>
    </font>
    <font>
      <b/>
      <sz val="14"/>
      <color rgb="FFFFFFFF"/>
      <name val="Calibri"/>
    </font>
    <font>
      <b/>
      <sz val="11"/>
      <color rgb="FF1F1F1F"/>
      <name val="Calibri"/>
    </font>
    <font>
      <sz val="11"/>
      <color rgb="FF1F1F1F"/>
      <name val="Calibri"/>
    </font>
    <font>
      <b/>
      <sz val="11"/>
      <color rgb="FFFFFFFF"/>
      <name val="Calibri"/>
    </font>
    <font>
      <b/>
      <sz val="11"/>
      <color rgb="FFFFFFFF"/>
      <name val="Calibri"/>
    </font>
    <font>
      <sz val="11"/>
      <color rgb="FF385723"/>
      <name val="Calibri"/>
    </font>
    <font>
      <u/>
      <sz val="11"/>
      <color theme="10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FFFFFF"/>
      </patternFill>
    </fill>
    <fill>
      <patternFill patternType="solid">
        <fgColor rgb="FFDCE6F1"/>
      </patternFill>
    </fill>
    <fill>
      <patternFill patternType="solid">
        <fgColor rgb="FF00B050"/>
      </patternFill>
    </fill>
    <fill>
      <patternFill patternType="solid">
        <fgColor rgb="FFF3FBF1"/>
      </patternFill>
    </fill>
    <fill>
      <patternFill patternType="solid">
        <fgColor rgb="FFE2F0D9"/>
      </patternFill>
    </fill>
  </fills>
  <borders count="11">
    <border>
      <left/>
      <right/>
      <top/>
      <bottom/>
      <diagonal/>
    </border>
    <border>
      <left style="thin">
        <color rgb="FFC9C9C9"/>
      </left>
      <right style="thin">
        <color rgb="FFC9C9C9"/>
      </right>
      <top style="thin">
        <color rgb="FFC9C9C9"/>
      </top>
      <bottom style="thin">
        <color rgb="FFC9C9C9"/>
      </bottom>
      <diagonal/>
    </border>
    <border>
      <left style="thin">
        <color rgb="FFD9EAD3"/>
      </left>
      <right style="thin">
        <color rgb="FFD9EAD3"/>
      </right>
      <top style="thin">
        <color rgb="FFD9EAD3"/>
      </top>
      <bottom style="thin">
        <color rgb="FFD9EAD3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rgb="FFD9EAD3"/>
      </right>
      <top style="thin">
        <color rgb="FFD9EAD3"/>
      </top>
      <bottom style="thin">
        <color rgb="FFD9EAD3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2">
    <xf numFmtId="0" fontId="0" fillId="0" borderId="0"/>
    <xf numFmtId="0" fontId="8" fillId="0" borderId="0" applyNumberFormat="0" applyFill="0" applyBorder="0" applyAlignment="0" applyProtection="0"/>
  </cellStyleXfs>
  <cellXfs count="23">
    <xf numFmtId="0" fontId="0" fillId="0" borderId="0" xfId="0"/>
    <xf numFmtId="0" fontId="0" fillId="2" borderId="1" xfId="0" applyFill="1" applyBorder="1" applyAlignment="1">
      <alignment vertical="top" wrapText="1"/>
    </xf>
    <xf numFmtId="0" fontId="1" fillId="3" borderId="1" xfId="0" applyFont="1" applyFill="1" applyBorder="1" applyAlignment="1">
      <alignment vertical="top" wrapText="1"/>
    </xf>
    <xf numFmtId="0" fontId="3" fillId="5" borderId="2" xfId="0" applyFont="1" applyFill="1" applyBorder="1" applyAlignment="1">
      <alignment vertical="top" wrapText="1"/>
    </xf>
    <xf numFmtId="0" fontId="4" fillId="6" borderId="2" xfId="0" applyFont="1" applyFill="1" applyBorder="1" applyAlignment="1">
      <alignment vertical="top" wrapText="1"/>
    </xf>
    <xf numFmtId="0" fontId="5" fillId="4" borderId="2" xfId="0" applyFont="1" applyFill="1" applyBorder="1" applyAlignment="1">
      <alignment vertical="top" wrapText="1"/>
    </xf>
    <xf numFmtId="0" fontId="0" fillId="0" borderId="0" xfId="0"/>
    <xf numFmtId="0" fontId="7" fillId="6" borderId="3" xfId="0" applyFont="1" applyFill="1" applyBorder="1" applyAlignment="1">
      <alignment vertical="top" wrapText="1"/>
    </xf>
    <xf numFmtId="0" fontId="0" fillId="2" borderId="5" xfId="0" applyFill="1" applyBorder="1" applyAlignment="1">
      <alignment vertical="top" wrapText="1"/>
    </xf>
    <xf numFmtId="0" fontId="7" fillId="6" borderId="6" xfId="0" applyFont="1" applyFill="1" applyBorder="1" applyAlignment="1">
      <alignment vertical="top" wrapText="1"/>
    </xf>
    <xf numFmtId="0" fontId="1" fillId="3" borderId="7" xfId="0" applyFont="1" applyFill="1" applyBorder="1" applyAlignment="1">
      <alignment vertical="top" wrapText="1"/>
    </xf>
    <xf numFmtId="0" fontId="6" fillId="4" borderId="8" xfId="0" applyFont="1" applyFill="1" applyBorder="1" applyAlignment="1">
      <alignment horizontal="center" vertical="center" wrapText="1"/>
    </xf>
    <xf numFmtId="0" fontId="6" fillId="4" borderId="9" xfId="0" applyFont="1" applyFill="1" applyBorder="1" applyAlignment="1">
      <alignment horizontal="center" vertical="center" wrapText="1"/>
    </xf>
    <xf numFmtId="0" fontId="0" fillId="0" borderId="0" xfId="0" applyAlignment="1">
      <alignment vertical="top" wrapText="1"/>
    </xf>
    <xf numFmtId="0" fontId="3" fillId="0" borderId="10" xfId="0" applyFont="1" applyBorder="1" applyAlignment="1">
      <alignment vertical="top" wrapText="1"/>
    </xf>
    <xf numFmtId="0" fontId="6" fillId="4" borderId="10" xfId="0" applyFont="1" applyFill="1" applyBorder="1" applyAlignment="1">
      <alignment vertical="top" wrapText="1"/>
    </xf>
    <xf numFmtId="0" fontId="3" fillId="5" borderId="10" xfId="0" applyFont="1" applyFill="1" applyBorder="1" applyAlignment="1">
      <alignment vertical="top" wrapText="1"/>
    </xf>
    <xf numFmtId="0" fontId="4" fillId="6" borderId="10" xfId="0" applyFont="1" applyFill="1" applyBorder="1" applyAlignment="1">
      <alignment vertical="top" wrapText="1"/>
    </xf>
    <xf numFmtId="0" fontId="4" fillId="0" borderId="10" xfId="0" applyFont="1" applyBorder="1" applyAlignment="1">
      <alignment vertical="top" wrapText="1"/>
    </xf>
    <xf numFmtId="0" fontId="0" fillId="0" borderId="10" xfId="0" applyBorder="1" applyAlignment="1">
      <alignment vertical="top" wrapText="1"/>
    </xf>
    <xf numFmtId="0" fontId="8" fillId="0" borderId="10" xfId="1" applyBorder="1" applyAlignment="1">
      <alignment vertical="top" wrapText="1"/>
    </xf>
    <xf numFmtId="0" fontId="2" fillId="4" borderId="2" xfId="0" applyFont="1" applyFill="1" applyBorder="1" applyAlignment="1">
      <alignment horizontal="center" vertical="center" wrapText="1"/>
    </xf>
    <xf numFmtId="0" fontId="0" fillId="0" borderId="4" xfId="0" applyBorder="1"/>
  </cellXfs>
  <cellStyles count="2">
    <cellStyle name="Гиперссылка" xfId="1" builtinId="8"/>
    <cellStyle name="Обычный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confluence.moscow.alfaintra.net/spaces/DLPLATFORM/pages/3292197773/DataGen+-+%D0%98%D0%BD%D1%81%D1%82%D1%80%D1%83%D0%BC%D0%B5%D0%BD%D1%82+%D1%82%D0%B5%D1%81%D1%82%D0%B8%D1%80%D0%BE%D0%B2%D0%B0%D0%BD%D0%B8%D1%8F+%D0%B2%D0%B8%D1%82%D1%80%D0%B8%D0%BD+BDA+%D0%B8+BDP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89"/>
  <sheetViews>
    <sheetView tabSelected="1" workbookViewId="0">
      <pane ySplit="2" topLeftCell="A3" activePane="bottomLeft" state="frozen"/>
      <selection pane="bottomLeft" activeCell="A22" sqref="A22:XFD22"/>
    </sheetView>
  </sheetViews>
  <sheetFormatPr defaultRowHeight="14.25" x14ac:dyDescent="0.45"/>
  <cols>
    <col min="1" max="1" width="34" style="6" customWidth="1"/>
    <col min="2" max="2" width="120" style="6" customWidth="1"/>
  </cols>
  <sheetData>
    <row r="1" spans="1:2" x14ac:dyDescent="0.45">
      <c r="A1" s="21" t="s">
        <v>0</v>
      </c>
      <c r="B1" s="22"/>
    </row>
    <row r="2" spans="1:2" ht="42.75" x14ac:dyDescent="0.45">
      <c r="A2" s="14" t="s">
        <v>1</v>
      </c>
      <c r="B2" s="20" t="s">
        <v>175</v>
      </c>
    </row>
    <row r="3" spans="1:2" ht="30" customHeight="1" x14ac:dyDescent="0.45">
      <c r="A3" s="3" t="s">
        <v>2</v>
      </c>
      <c r="B3" s="4" t="s">
        <v>176</v>
      </c>
    </row>
    <row r="4" spans="1:2" ht="30" customHeight="1" x14ac:dyDescent="0.45">
      <c r="A4" s="3" t="s">
        <v>3</v>
      </c>
      <c r="B4" s="4" t="s">
        <v>177</v>
      </c>
    </row>
    <row r="5" spans="1:2" ht="30" customHeight="1" x14ac:dyDescent="0.45">
      <c r="A5" s="3" t="s">
        <v>4</v>
      </c>
      <c r="B5" s="4" t="s">
        <v>178</v>
      </c>
    </row>
    <row r="6" spans="1:2" ht="30" customHeight="1" x14ac:dyDescent="0.45">
      <c r="A6" s="3" t="s">
        <v>5</v>
      </c>
      <c r="B6" s="4" t="s">
        <v>179</v>
      </c>
    </row>
    <row r="7" spans="1:2" ht="30" customHeight="1" x14ac:dyDescent="0.45">
      <c r="A7" s="3" t="s">
        <v>6</v>
      </c>
      <c r="B7" s="4" t="s">
        <v>180</v>
      </c>
    </row>
    <row r="8" spans="1:2" ht="30" customHeight="1" x14ac:dyDescent="0.45">
      <c r="A8" s="3" t="s">
        <v>7</v>
      </c>
      <c r="B8" s="4" t="s">
        <v>181</v>
      </c>
    </row>
    <row r="9" spans="1:2" ht="30" customHeight="1" x14ac:dyDescent="0.45">
      <c r="A9" s="3" t="s">
        <v>8</v>
      </c>
      <c r="B9" s="4" t="s">
        <v>182</v>
      </c>
    </row>
    <row r="10" spans="1:2" ht="30" customHeight="1" x14ac:dyDescent="0.45">
      <c r="A10" s="3" t="s">
        <v>9</v>
      </c>
      <c r="B10" s="4" t="s">
        <v>183</v>
      </c>
    </row>
    <row r="11" spans="1:2" ht="30" customHeight="1" x14ac:dyDescent="0.45">
      <c r="A11" s="3" t="s">
        <v>10</v>
      </c>
      <c r="B11" s="4" t="s">
        <v>184</v>
      </c>
    </row>
    <row r="12" spans="1:2" ht="30" customHeight="1" x14ac:dyDescent="0.45">
      <c r="A12" s="3" t="s">
        <v>11</v>
      </c>
      <c r="B12" s="4" t="s">
        <v>185</v>
      </c>
    </row>
    <row r="13" spans="1:2" ht="30" customHeight="1" x14ac:dyDescent="0.45">
      <c r="A13" s="3" t="s">
        <v>12</v>
      </c>
      <c r="B13" s="4" t="s">
        <v>186</v>
      </c>
    </row>
    <row r="14" spans="1:2" ht="30" customHeight="1" x14ac:dyDescent="0.45">
      <c r="A14" s="3" t="s">
        <v>13</v>
      </c>
      <c r="B14" s="4" t="s">
        <v>187</v>
      </c>
    </row>
    <row r="16" spans="1:2" x14ac:dyDescent="0.45">
      <c r="A16" s="5" t="s">
        <v>14</v>
      </c>
      <c r="B16" s="5"/>
    </row>
    <row r="17" spans="1:2" x14ac:dyDescent="0.45">
      <c r="A17" s="3" t="s">
        <v>15</v>
      </c>
      <c r="B17" s="4" t="s">
        <v>16</v>
      </c>
    </row>
    <row r="18" spans="1:2" x14ac:dyDescent="0.45">
      <c r="A18" s="3" t="s">
        <v>17</v>
      </c>
      <c r="B18" s="4" t="s">
        <v>18</v>
      </c>
    </row>
    <row r="19" spans="1:2" x14ac:dyDescent="0.45">
      <c r="A19" s="3" t="s">
        <v>19</v>
      </c>
      <c r="B19" s="4" t="s">
        <v>20</v>
      </c>
    </row>
    <row r="20" spans="1:2" x14ac:dyDescent="0.45">
      <c r="A20" s="3" t="s">
        <v>21</v>
      </c>
      <c r="B20" s="4" t="s">
        <v>22</v>
      </c>
    </row>
    <row r="21" spans="1:2" x14ac:dyDescent="0.45">
      <c r="A21" s="3" t="s">
        <v>23</v>
      </c>
      <c r="B21" s="4" t="s">
        <v>24</v>
      </c>
    </row>
    <row r="23" spans="1:2" x14ac:dyDescent="0.45">
      <c r="A23" s="5" t="s">
        <v>25</v>
      </c>
      <c r="B23" s="5"/>
    </row>
    <row r="24" spans="1:2" x14ac:dyDescent="0.45">
      <c r="A24" s="3" t="s">
        <v>26</v>
      </c>
      <c r="B24" s="4" t="s">
        <v>27</v>
      </c>
    </row>
    <row r="25" spans="1:2" x14ac:dyDescent="0.45">
      <c r="A25" s="3" t="s">
        <v>28</v>
      </c>
      <c r="B25" s="4" t="s">
        <v>29</v>
      </c>
    </row>
    <row r="26" spans="1:2" x14ac:dyDescent="0.45">
      <c r="A26" s="3" t="s">
        <v>30</v>
      </c>
      <c r="B26" s="4" t="s">
        <v>31</v>
      </c>
    </row>
    <row r="27" spans="1:2" x14ac:dyDescent="0.45">
      <c r="A27" s="3" t="s">
        <v>32</v>
      </c>
      <c r="B27" s="4" t="s">
        <v>33</v>
      </c>
    </row>
    <row r="28" spans="1:2" ht="28.5" x14ac:dyDescent="0.45">
      <c r="A28" s="3" t="s">
        <v>34</v>
      </c>
      <c r="B28" s="4" t="s">
        <v>35</v>
      </c>
    </row>
    <row r="29" spans="1:2" x14ac:dyDescent="0.45">
      <c r="A29" s="3" t="s">
        <v>36</v>
      </c>
      <c r="B29" s="4" t="s">
        <v>37</v>
      </c>
    </row>
    <row r="30" spans="1:2" x14ac:dyDescent="0.45">
      <c r="A30" s="3" t="s">
        <v>38</v>
      </c>
      <c r="B30" s="4" t="s">
        <v>39</v>
      </c>
    </row>
    <row r="31" spans="1:2" ht="28.5" x14ac:dyDescent="0.45">
      <c r="A31" s="3" t="s">
        <v>40</v>
      </c>
      <c r="B31" s="4" t="s">
        <v>41</v>
      </c>
    </row>
    <row r="33" spans="1:2" x14ac:dyDescent="0.45">
      <c r="A33" s="5" t="s">
        <v>42</v>
      </c>
      <c r="B33" s="5"/>
    </row>
    <row r="34" spans="1:2" x14ac:dyDescent="0.45">
      <c r="A34" s="3" t="s">
        <v>43</v>
      </c>
      <c r="B34" s="4" t="s">
        <v>44</v>
      </c>
    </row>
    <row r="35" spans="1:2" x14ac:dyDescent="0.45">
      <c r="A35" s="3" t="s">
        <v>45</v>
      </c>
      <c r="B35" s="4" t="s">
        <v>46</v>
      </c>
    </row>
    <row r="36" spans="1:2" x14ac:dyDescent="0.45">
      <c r="A36" s="3" t="s">
        <v>47</v>
      </c>
      <c r="B36" s="4" t="s">
        <v>48</v>
      </c>
    </row>
    <row r="37" spans="1:2" x14ac:dyDescent="0.45">
      <c r="A37" s="3" t="s">
        <v>49</v>
      </c>
      <c r="B37" s="4" t="s">
        <v>50</v>
      </c>
    </row>
    <row r="39" spans="1:2" ht="36" customHeight="1" x14ac:dyDescent="0.45">
      <c r="A39" s="15" t="inlineStr">
        <is>
          <t>Допустимые значения</t>
        </is>
      </c>
      <c r="B39" s="15"/>
    </row>
    <row r="40" spans="1:2" ht="36" customHeight="1" x14ac:dyDescent="0.45">
      <c r="A40" s="16" t="inlineStr">
        <is>
          <t>Data types</t>
        </is>
      </c>
      <c r="B40" s="17" t="inlineStr">
        <is>
          <t>STRING, INT, FLOAT, DATE, TIMESTAMP, BOOLEAN.</t>
        </is>
      </c>
    </row>
    <row r="41" spans="1:2" ht="36" customHeight="1" x14ac:dyDescent="0.45">
      <c r="A41" s="16" t="inlineStr">
        <is>
          <t>write_mode</t>
        </is>
      </c>
      <c r="B41" s="17" t="inlineStr">
        <is>
          <t>OVERWRITE_TABLE — полная перезапись; OVERWRITE_PARTITIONS — перезапись затронутых партиций; APPEND — добавление строк.</t>
        </is>
      </c>
    </row>
    <row r="42" spans="1:2" ht="36" customHeight="1" x14ac:dyDescent="0.45">
      <c r="A42" s="16" t="inlineStr">
        <is>
          <t>engine_scope</t>
        </is>
      </c>
      <c r="B42" s="17" t="inlineStr">
        <is>
          <t>ALL — оба движка; HIVE_ONLY — только Hive; ICEBERG_ONLY — только Iceberg.</t>
        </is>
      </c>
    </row>
    <row r="43" spans="1:2" ht="36" customHeight="1" x14ac:dyDescent="0.45">
      <c r="A43" s="16" t="inlineStr">
        <is>
          <t>cardinality</t>
        </is>
      </c>
      <c r="B43" s="17" t="inlineStr">
        <is>
          <t>ONE_TO_MANY — значения parent-колонки могут повторяться; ONE_TO_ONE — distinct parent-значения без повторов.</t>
        </is>
      </c>
    </row>
    <row r="44" spans="1:2" ht="36" customHeight="1" x14ac:dyDescent="0.45">
      <c r="A44" s="16" t="inlineStr">
        <is>
          <t>derive.rule</t>
        </is>
      </c>
      <c r="B44" s="17" t="inlineStr">
        <is>
          <t>YYYYMMDD — год+месяц+день; YYYY — год; MM — месяц.</t>
        </is>
      </c>
    </row>
    <row r="45" spans="1:2" ht="30" customHeight="1" x14ac:dyDescent="0.45">
      <c r="A45" s="15" t="inlineStr">
        <is>
          <t>Constraints: справочник</t>
        </is>
      </c>
      <c r="B45" s="15"/>
    </row>
    <row r="46" spans="1:2" ht="42" customHeight="1" x14ac:dyDescent="0.45">
      <c r="A46" s="16" t="inlineStr">
        <is>
          <t>Главное правило</t>
        </is>
      </c>
      <c r="B46" s="17" t="inlineStr">
        <is>
          <t>Все constraints необязательны. Если ключ не указан, DataGen применяет значение по умолчанию. Заполняйте только ограничения, которые важны для теста.</t>
        </is>
      </c>
    </row>
    <row r="47" spans="1:2" ht="48" customHeight="1" x14ac:dyDescent="0.45">
      <c r="A47" s="16" t="inlineStr">
        <is>
          <t>Формат</t>
        </is>
      </c>
      <c r="B47" s="17" t="inlineStr">
        <is>
          <t>key=value; key2=value2. Строки лучше брать в кавычки, списки заполнять как JSON-массивы: ["A", "B"], [1, 2], [true, false].</t>
        </is>
      </c>
    </row>
    <row r="48" spans="1:2" ht="30" customHeight="1" x14ac:dyDescent="0.45">
      <c r="A48" s="15" t="inlineStr">
        <is>
          <t>Constraint</t>
        </is>
      </c>
      <c r="B48" s="15" t="inlineStr">
        <is>
          <t>Описание и значение по умолчанию</t>
        </is>
      </c>
    </row>
    <row r="49" spans="1:2" ht="30" customHeight="1" x14ac:dyDescent="0.45">
      <c r="A49" s="15" t="inlineStr">
        <is>
          <t>Общие для generated-колонок</t>
        </is>
      </c>
      <c r="B49" s="15"/>
    </row>
    <row r="50" spans="1:2" ht="36" customHeight="1" x14ac:dyDescent="0.45">
      <c r="A50" s="16" t="inlineStr">
        <is>
          <t>null_ratio</t>
        </is>
      </c>
      <c r="B50" s="17" t="inlineStr">
        <is>
          <t>Доля NULL в итоговой колонке, например 0.1 = около 10% NULL. По умолчанию: 0.</t>
        </is>
      </c>
    </row>
    <row r="51" spans="1:2" ht="42" customHeight="1" x14ac:dyDescent="0.45">
      <c r="A51" s="16" t="inlineStr">
        <is>
          <t>is_unique</t>
        </is>
      </c>
      <c r="B51" s="17" t="inlineStr">
        <is>
          <t>Требует уникальности non-null значений. Если значений не хватит, генерация упадет. По умолчанию: false.</t>
        </is>
      </c>
    </row>
    <row r="52" spans="1:2" ht="42" customHeight="1" x14ac:dyDescent="0.45">
      <c r="A52" s="16" t="inlineStr">
        <is>
          <t>allowed_values</t>
        </is>
      </c>
      <c r="B52" s="17" t="inlineStr">
        <is>
          <t>Значения берутся только из JSON-списка. Для BOOLEAN поведение без указания см. ниже. По умолчанию: не задано.</t>
        </is>
      </c>
    </row>
    <row r="53" spans="1:2" ht="30" customHeight="1" x14ac:dyDescent="0.45">
      <c r="A53" s="15" t="inlineStr">
        <is>
          <t>STRING</t>
        </is>
      </c>
      <c r="B53" s="15"/>
    </row>
    <row r="54" spans="1:2" ht="30" customHeight="1" x14ac:dyDescent="0.45">
      <c r="A54" s="16" t="inlineStr">
        <is>
          <t>length</t>
        </is>
      </c>
      <c r="B54" s="17" t="inlineStr">
        <is>
          <t>Длина строки при генерации по character_set. По умолчанию: 10.</t>
        </is>
      </c>
    </row>
    <row r="55" spans="1:2" ht="36" customHeight="1" x14ac:dyDescent="0.45">
      <c r="A55" s="16" t="inlineStr">
        <is>
          <t>character_set</t>
        </is>
      </c>
      <c r="B55" s="17" t="inlineStr">
        <is>
          <t>Набор символов: "letters", "digits", "alphanumeric". По умолчанию: "letters".</t>
        </is>
      </c>
    </row>
    <row r="56" spans="1:2" ht="36" customHeight="1" x14ac:dyDescent="0.45">
      <c r="A56" s="16" t="inlineStr">
        <is>
          <t>case_mode</t>
        </is>
      </c>
      <c r="B56" s="17" t="inlineStr">
        <is>
          <t>Регистр букв: "mixed", "lower", "upper". По умолчанию: "mixed".</t>
        </is>
      </c>
    </row>
    <row r="57" spans="1:2" ht="42" customHeight="1" x14ac:dyDescent="0.45">
      <c r="A57" s="16" t="inlineStr">
        <is>
          <t>regular_expr</t>
        </is>
      </c>
      <c r="B57" s="17" t="inlineStr">
        <is>
          <t>Генерирует строку по regex. Не используйте вместе с is_unique=true. По умолчанию: не задано.</t>
        </is>
      </c>
    </row>
    <row r="58" spans="1:2" ht="30" customHeight="1" x14ac:dyDescent="0.45">
      <c r="A58" s="15" t="inlineStr">
        <is>
          <t>INT</t>
        </is>
      </c>
      <c r="B58" s="15"/>
    </row>
    <row r="59" spans="1:2" ht="30" customHeight="1" x14ac:dyDescent="0.45">
      <c r="A59" s="16" t="inlineStr">
        <is>
          <t>min_value</t>
        </is>
      </c>
      <c r="B59" s="17" t="inlineStr">
        <is>
          <t>Нижняя граница диапазона, включительно. По умолчанию: 0.</t>
        </is>
      </c>
    </row>
    <row r="60" spans="1:2" ht="30" customHeight="1" x14ac:dyDescent="0.45">
      <c r="A60" s="16" t="inlineStr">
        <is>
          <t>max_value</t>
        </is>
      </c>
      <c r="B60" s="17" t="inlineStr">
        <is>
          <t>Верхняя граница диапазона, включительно. По умолчанию: 1000.</t>
        </is>
      </c>
    </row>
    <row r="61" spans="1:2" ht="36" customHeight="1" x14ac:dyDescent="0.45">
      <c r="A61" s="16" t="inlineStr">
        <is>
          <t>digits_count</t>
        </is>
      </c>
      <c r="B61" s="17" t="inlineStr">
        <is>
          <t>Генерирует число с указанным количеством цифр. По умолчанию: не задано.</t>
        </is>
      </c>
    </row>
    <row r="62" spans="1:2" ht="30" customHeight="1" x14ac:dyDescent="0.45">
      <c r="A62" s="15" t="inlineStr">
        <is>
          <t>FLOAT</t>
        </is>
      </c>
      <c r="B62" s="15"/>
    </row>
    <row r="63" spans="1:2" ht="30" customHeight="1" x14ac:dyDescent="0.45">
      <c r="A63" s="16" t="inlineStr">
        <is>
          <t>min_value</t>
        </is>
      </c>
      <c r="B63" s="17" t="inlineStr">
        <is>
          <t>Нижняя граница диапазона, включительно. По умолчанию: 0.</t>
        </is>
      </c>
    </row>
    <row r="64" spans="1:2" ht="30" customHeight="1" x14ac:dyDescent="0.45">
      <c r="A64" s="16" t="inlineStr">
        <is>
          <t>max_value</t>
        </is>
      </c>
      <c r="B64" s="17" t="inlineStr">
        <is>
          <t>Верхняя граница диапазона, включительно. По умолчанию: 1000.</t>
        </is>
      </c>
    </row>
    <row r="65" spans="1:2" ht="30" customHeight="1" x14ac:dyDescent="0.45">
      <c r="A65" s="16" t="inlineStr">
        <is>
          <t>precision</t>
        </is>
      </c>
      <c r="B65" s="17" t="inlineStr">
        <is>
          <t>Количество знаков после запятой. По умолчанию: 2.</t>
        </is>
      </c>
    </row>
    <row r="66" spans="1:2" ht="30" customHeight="1" x14ac:dyDescent="0.45">
      <c r="A66" s="15" t="inlineStr">
        <is>
          <t>DATE</t>
        </is>
      </c>
      <c r="B66" s="15"/>
    </row>
    <row r="67" spans="1:2" ht="36" customHeight="1" x14ac:dyDescent="0.45">
      <c r="A67" s="16" t="inlineStr">
        <is>
          <t>min_value</t>
        </is>
      </c>
      <c r="B67" s="17" t="inlineStr">
        <is>
          <t>Нижняя граница диапазона дат, включительно. По умолчанию: 1 января года запуска.</t>
        </is>
      </c>
    </row>
    <row r="68" spans="1:2" ht="36" customHeight="1" x14ac:dyDescent="0.45">
      <c r="A68" s="16" t="inlineStr">
        <is>
          <t>max_value</t>
        </is>
      </c>
      <c r="B68" s="17" t="inlineStr">
        <is>
          <t>Верхняя граница диапазона дат, включительно. По умолчанию: 31 декабря года запуска.</t>
        </is>
      </c>
    </row>
    <row r="69" spans="1:2" ht="42" customHeight="1" x14ac:dyDescent="0.45">
      <c r="A69" s="16" t="inlineStr">
        <is>
          <t>date_format</t>
        </is>
      </c>
      <c r="B69" s="17" t="inlineStr">
        <is>
          <t>Формат вывода при преобразовании DATE в STRING или INT. По умолчанию: "%Y-%m-%d".</t>
        </is>
      </c>
    </row>
    <row r="70" spans="1:2" ht="30" customHeight="1" x14ac:dyDescent="0.45">
      <c r="A70" s="15" t="inlineStr">
        <is>
          <t>TIMESTAMP</t>
        </is>
      </c>
      <c r="B70" s="15"/>
    </row>
    <row r="71" spans="1:2" ht="42" customHeight="1" x14ac:dyDescent="0.45">
      <c r="A71" s="16" t="inlineStr">
        <is>
          <t>min_timestamp</t>
        </is>
      </c>
      <c r="B71" s="17" t="inlineStr">
        <is>
          <t>Нижняя граница диапазона, включительно. По умолчанию: 1 января года запуска 00:00:00.</t>
        </is>
      </c>
    </row>
    <row r="72" spans="1:2" ht="42" customHeight="1" x14ac:dyDescent="0.45">
      <c r="A72" s="16" t="inlineStr">
        <is>
          <t>max_timestamp</t>
        </is>
      </c>
      <c r="B72" s="17" t="inlineStr">
        <is>
          <t>Верхняя граница диапазона, включительно. По умолчанию: 31 декабря года запуска 23:59:59.</t>
        </is>
      </c>
    </row>
    <row r="73" spans="1:2" ht="48" customHeight="1" x14ac:dyDescent="0.45">
      <c r="A73" s="16" t="inlineStr">
        <is>
          <t>timestamp_format</t>
        </is>
      </c>
      <c r="B73" s="17" t="inlineStr">
        <is>
          <t>Формат вывода при преобразовании TIMESTAMP в STRING или INT. По умолчанию: "%Y-%m-%d %H:%M:%S".</t>
        </is>
      </c>
    </row>
    <row r="74" spans="1:2" ht="30" customHeight="1" x14ac:dyDescent="0.45">
      <c r="A74" s="15" t="inlineStr">
        <is>
          <t>BOOLEAN</t>
        </is>
      </c>
      <c r="B74" s="15"/>
    </row>
    <row r="75" spans="1:2" ht="42" customHeight="1" x14ac:dyDescent="0.45">
      <c r="A75" s="16" t="inlineStr">
        <is>
          <t>allowed_values</t>
        </is>
      </c>
      <c r="B75" s="17" t="inlineStr">
        <is>
          <t>Можно ограничить список, например [true] или [false]. Если не задано, генератор выбирает true/false. По умолчанию: [true, false].</t>
        </is>
      </c>
    </row>
    <row r="76" spans="1:2" ht="30" customHeight="1" x14ac:dyDescent="0.45">
      <c r="A76" s="15" t="inlineStr">
        <is>
          <t>Reference / derived</t>
        </is>
      </c>
      <c r="B76" s="15"/>
    </row>
    <row r="77" spans="1:2" ht="36" customHeight="1" x14ac:dyDescent="0.45">
      <c r="A77" s="16" t="inlineStr">
        <is>
          <t>reference constraints</t>
        </is>
      </c>
      <c r="B77" s="17" t="inlineStr">
        <is>
          <t>Для reference разрешен только null_ratio. Остальные constraints запрещены.</t>
        </is>
      </c>
    </row>
    <row r="78" spans="1:2" ht="30" customHeight="1" x14ac:dyDescent="0.45">
      <c r="A78" s="16" t="inlineStr">
        <is>
          <t>derived constraints</t>
        </is>
      </c>
      <c r="B78" s="17" t="inlineStr">
        <is>
          <t>Для derived поле constraints должно быть пустым.</t>
        </is>
      </c>
    </row>
    <row r="79" spans="1:2" ht="30" customHeight="1" x14ac:dyDescent="0.45">
      <c r="A79" s="15" t="inlineStr">
        <is>
          <t>Конфликты</t>
        </is>
      </c>
      <c r="B79" s="15"/>
    </row>
    <row r="80" spans="1:2" ht="48" customHeight="1" x14ac:dyDescent="0.45">
      <c r="A80" s="16" t="inlineStr">
        <is>
          <t>allowed_values</t>
        </is>
      </c>
      <c r="B80" s="17" t="inlineStr">
        <is>
          <t>Не смешивайте с диапазонами: min_value/max_value/min_timestamp/max_timestamp. Список имеет приоритет, диапазон будет путать.</t>
        </is>
      </c>
    </row>
    <row r="81" spans="1:2" ht="30" customHeight="1" x14ac:dyDescent="0.45">
      <c r="A81" s="16" t="inlineStr">
        <is>
          <t>digits_count</t>
        </is>
      </c>
      <c r="B81" s="17" t="inlineStr">
        <is>
          <t>Нельзя использовать вместе с min_value, max_value или allowed_values.</t>
        </is>
      </c>
    </row>
    <row r="82" spans="1:2" ht="30" customHeight="1" x14ac:dyDescent="0.45">
      <c r="A82" s="16" t="inlineStr">
        <is>
          <t>regular_expr</t>
        </is>
      </c>
      <c r="B82" s="17" t="inlineStr">
        <is>
          <t>Не используйте вместе с is_unique=true.</t>
        </is>
      </c>
    </row>
    <row r="83" spans="1:2" ht="30" customHeight="1" x14ac:dyDescent="0.45">
      <c r="A83" s="15" t="inlineStr">
        <is>
          <t>Проверки перед запуском</t>
        </is>
      </c>
      <c r="B83" s="15"/>
    </row>
    <row r="84" spans="1:2" ht="30" customHeight="1" x14ac:dyDescent="0.45">
      <c r="A84" s="16" t="inlineStr">
        <is>
          <t>reference + derive</t>
        </is>
      </c>
      <c r="B84" s="17" t="inlineStr">
        <is>
          <t>Запрещено в одной строке. Выберите один тип колонки.</t>
        </is>
      </c>
    </row>
    <row r="85" spans="1:2" ht="36" customHeight="1" x14ac:dyDescent="0.45">
      <c r="A85" s="16" t="inlineStr">
        <is>
          <t>derived from derived</t>
        </is>
      </c>
      <c r="B85" s="17" t="inlineStr">
        <is>
          <t>Запрещено. source_column должен ссылаться на generated DATE/TIMESTAMP-колонку этой же таблицы.</t>
        </is>
      </c>
    </row>
    <row r="86" spans="1:2" ht="36" customHeight="1" x14ac:dyDescent="0.45">
      <c r="A86" s="16" t="inlineStr">
        <is>
          <t>partition columns</t>
        </is>
      </c>
      <c r="B86" s="17" t="inlineStr">
        <is>
          <t>Не задаются в workbook. Для OVERWRITE_PARTITIONS source of truth — реальная target table.</t>
        </is>
      </c>
    </row>
    <row r="87" spans="1:2" ht="42" customHeight="1" x14ac:dyDescent="0.45">
      <c r="A87" s="16" t="inlineStr">
        <is>
          <t>DATE/TIMESTAMP in compare</t>
        </is>
      </c>
      <c r="B87" s="17" t="inlineStr">
        <is>
          <t>Колонки результата SQL типов date/timestamp/timestamp_ntz исключаются. Для сравнения приведите дату к INT или STRING.</t>
        </is>
      </c>
    </row>
    <row r="88" spans="1:2" ht="48" customHeight="1" x14ac:dyDescent="0.45">
      <c r="A88" s="16" t="inlineStr">
        <is>
          <t>built-in compare excludes</t>
        </is>
      </c>
      <c r="B88" s="17" t="inlineStr">
        <is>
          <t>Hive: date_part, month_part, year_part, load_part. Iceberg: sys_insert_stamp, sys_update_stamp, src_modified_stamp, job_insert_id.</t>
        </is>
      </c>
    </row>
    <row r="89" spans="1:2" ht="30" customHeight="1" x14ac:dyDescent="0.45">
      <c r="A89" s="16" t="inlineStr">
        <is>
          <t>query compare</t>
        </is>
      </c>
      <c r="B89" s="17" t="inlineStr">
        <is>
          <t>После исключений схемы Hive и Iceberg query results должны совпасть.</t>
        </is>
      </c>
    </row>
  </sheetData>
  <mergeCells count="1">
    <mergeCell ref="A1:B1"/>
  </mergeCells>
  <hyperlinks>
    <hyperlink ref="B2" r:id="rId1" display="https://confluence.moscow.alfaintra.net/spaces/DLPLATFORM/pages/3292197773/DataGen+-+%D0%98%D0%BD%D1%81%D1%82%D1%80%D1%83%D0%BC%D0%B5%D0%BD%D1%82+%D1%82%D0%B5%D1%81%D1%82%D0%B8%D1%80%D0%BE%D0%B2%D0%B0%D0%BD%D0%B8%D1%8F+%D0%B2%D0%B8%D1%82%D1%80%D0%B8%D0%BD+BDA+%D0%B8+BDP" xr:uid="{BCFC78A0-8920-47A6-A0A6-509C50832B48}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Q12"/>
  <sheetViews>
    <sheetView workbookViewId="0">
      <pane ySplit="1" topLeftCell="A2" activePane="bottomLeft" state="frozen"/>
      <selection pane="bottomLeft" activeCell="B2" sqref="B2"/>
    </sheetView>
  </sheetViews>
  <sheetFormatPr defaultRowHeight="14.25" x14ac:dyDescent="0.45"/>
  <cols>
    <col min="1" max="1" width="14" style="6" customWidth="1"/>
    <col min="2" max="2" width="60" style="6" customWidth="1"/>
    <col min="8" max="8" width="10" style="6" customWidth="1"/>
    <col min="10" max="11" width="30" style="6" customWidth="1"/>
    <col min="12" max="12" width="24" style="6" customWidth="1"/>
    <col min="13" max="13" width="16" style="6" customWidth="1"/>
    <col min="14" max="14" width="20" style="6" customWidth="1"/>
    <col min="16" max="16" width="24" style="6" customWidth="1"/>
    <col min="17" max="17" width="90" style="6" customWidth="1"/>
  </cols>
  <sheetData>
    <row r="1" spans="1:17" x14ac:dyDescent="0.45">
      <c r="A1" s="13" t="s">
        <v>94</v>
      </c>
      <c r="B1" s="13" t="s">
        <v>95</v>
      </c>
      <c r="H1" s="13" t="s">
        <v>96</v>
      </c>
      <c r="J1" s="13" t="s">
        <v>97</v>
      </c>
      <c r="K1" s="13" t="s">
        <v>98</v>
      </c>
      <c r="L1" s="13" t="s">
        <v>99</v>
      </c>
      <c r="M1" s="13" t="s">
        <v>100</v>
      </c>
      <c r="N1" s="13" t="s">
        <v>101</v>
      </c>
      <c r="P1" s="19" t="s">
        <v>102</v>
      </c>
      <c r="Q1" s="19" t="s">
        <v>103</v>
      </c>
    </row>
    <row r="2" spans="1:17" x14ac:dyDescent="0.45" ht="140" customHeight="1">
      <c r="A2" s="13" t="s">
        <v>104</v>
      </c>
      <c r="B2" s="13" t="inlineStr">
        <is>
          <t>Общие: null_ratio=0; is_unique=false; allowed_values не задано.
STRING: length=10; character_set="letters"; case_mode="mixed"; regular_expr не задано.
Примеры: allowed_values=["A", "B"]; length=6; character_set="alphanumeric"; case_mode="upper"; regular_expr="^[A-Z0-9]{6}$"</t>
        </is>
      </c>
      <c r="H2" s="13" t="s">
        <v>106</v>
      </c>
      <c r="J2" s="13" t="s">
        <v>107</v>
      </c>
      <c r="K2" s="13" t="s">
        <v>108</v>
      </c>
      <c r="L2" s="13" t="s">
        <v>109</v>
      </c>
      <c r="M2" s="13" t="s">
        <v>110</v>
      </c>
      <c r="N2" s="13" t="s">
        <v>111</v>
      </c>
      <c r="P2" s="14" t="s">
        <v>15</v>
      </c>
      <c r="Q2" s="18" t="s">
        <v>112</v>
      </c>
    </row>
    <row r="3" spans="1:17" x14ac:dyDescent="0.45" ht="105" customHeight="1">
      <c r="A3" s="13" t="s">
        <v>113</v>
      </c>
      <c r="B3" s="13" t="inlineStr">
        <is>
          <t>Общие: null_ratio=0; is_unique=false; allowed_values не задано.
INT: min_value=0; max_value=1000; digits_count не задано.
Примеры: allowed_values=[1, 2, 3]; min_value=1; max_value=1000; digits_count=10</t>
        </is>
      </c>
      <c r="H3" s="13" t="s">
        <v>115</v>
      </c>
      <c r="L3" s="13" t="s">
        <v>116</v>
      </c>
      <c r="M3" s="13" t="s">
        <v>117</v>
      </c>
      <c r="N3" s="13" t="s">
        <v>118</v>
      </c>
      <c r="P3" s="14" t="s">
        <v>17</v>
      </c>
      <c r="Q3" s="18" t="s">
        <v>119</v>
      </c>
    </row>
    <row r="4" spans="1:17" x14ac:dyDescent="0.45" ht="105" customHeight="1">
      <c r="A4" s="13" t="s">
        <v>120</v>
      </c>
      <c r="B4" s="13" t="inlineStr">
        <is>
          <t>Общие: null_ratio=0; is_unique=false; allowed_values не задано.
FLOAT: min_value=0; max_value=1000; precision=2.
Примеры: allowed_values=[10.5, 20.25]; min_value=0.0; max_value=1000.0; precision=2</t>
        </is>
      </c>
      <c r="L4" s="13" t="s">
        <v>122</v>
      </c>
      <c r="M4" s="13" t="s">
        <v>123</v>
      </c>
      <c r="N4" s="13" t="s">
        <v>124</v>
      </c>
      <c r="P4" s="14" t="s">
        <v>23</v>
      </c>
      <c r="Q4" s="18" t="s">
        <v>125</v>
      </c>
    </row>
    <row r="5" spans="1:17" x14ac:dyDescent="0.45" ht="125" customHeight="1">
      <c r="A5" s="13" t="s">
        <v>126</v>
      </c>
      <c r="B5" s="13" t="inlineStr">
        <is>
          <t>Общие: null_ratio=0; is_unique=false; allowed_values не задано.
DATE: min_value=1 января года запуска; max_value=31 декабря года запуска; date_format="%Y-%m-%d".
Примеры: allowed_values=["2024-01-01", "2024-01-02"]; min_value="2024-01-01"; max_value="2024-12-31"; date_format="%Y%m%d"</t>
        </is>
      </c>
      <c r="L5" s="13"/>
      <c r="N5" s="13"/>
      <c r="P5" s="14" t="s">
        <v>28</v>
      </c>
      <c r="Q5" s="18" t="s">
        <v>128</v>
      </c>
    </row>
    <row r="6" spans="1:17" x14ac:dyDescent="0.45" ht="150" customHeight="1">
      <c r="A6" s="13" t="s">
        <v>129</v>
      </c>
      <c r="B6" s="13" t="inlineStr">
        <is>
          <t>Общие: null_ratio=0; is_unique=false; allowed_values не задано.
TIMESTAMP: min_timestamp=1 января года запуска 00:00:00; max_timestamp=31 декабря года запуска 23:59:59; timestamp_format="%Y-%m-%d %H:%M:%S".
Примеры: allowed_values=["2024-01-01 00:00:00", "2024-01-01 00:01:00"]; min_timestamp="2024-01-01 00:00:00"; max_timestamp="2024-12-31 23:59:59"; timestamp_format="%Y%m%d%H%M%S"</t>
        </is>
      </c>
      <c r="P6" s="14" t="s">
        <v>30</v>
      </c>
      <c r="Q6" s="18" t="s">
        <v>131</v>
      </c>
    </row>
    <row r="7" spans="1:17" x14ac:dyDescent="0.45" ht="80" customHeight="1">
      <c r="A7" s="13" t="s">
        <v>132</v>
      </c>
      <c r="B7" s="13" t="inlineStr">
        <is>
          <t>Общие: null_ratio=0; is_unique=false.
BOOLEAN: allowed_values не задано, генератор выбирает true/false.
Примеры: allowed_values=[true, false]; allowed_values=[true]</t>
        </is>
      </c>
      <c r="P7" s="14" t="s">
        <v>34</v>
      </c>
      <c r="Q7" s="18" t="inlineStr">
        <is>
          <t>Полный список constraints и дефолтов — в колонке Constraint Hint; подробные правила и особенности — в Confluence.</t>
        </is>
      </c>
    </row>
    <row r="8" spans="1:17" ht="44" customHeight="1" x14ac:dyDescent="0.45">
      <c r="P8" s="14" t="s">
        <v>36</v>
      </c>
      <c r="Q8" s="18" t="s">
        <v>135</v>
      </c>
    </row>
    <row r="9" spans="1:17" ht="44" customHeight="1" x14ac:dyDescent="0.45">
      <c r="P9" s="14" t="s">
        <v>38</v>
      </c>
      <c r="Q9" s="18" t="s">
        <v>136</v>
      </c>
    </row>
    <row r="10" spans="1:17" ht="44" customHeight="1" x14ac:dyDescent="0.45">
      <c r="P10" s="14" t="s">
        <v>40</v>
      </c>
      <c r="Q10" s="18" t="s">
        <v>137</v>
      </c>
    </row>
    <row r="11" spans="1:17" ht="44" customHeight="1" x14ac:dyDescent="0.45">
      <c r="P11" s="14" t="s">
        <v>138</v>
      </c>
      <c r="Q11" s="18" t="s">
        <v>139</v>
      </c>
    </row>
    <row r="12" spans="1:17" ht="58.05" customHeight="1" x14ac:dyDescent="0.45">
      <c r="P12" s="14" t="s">
        <v>140</v>
      </c>
      <c r="Q12" s="18" t="s">
        <v>141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6"/>
  <sheetViews>
    <sheetView workbookViewId="0">
      <pane ySplit="1" topLeftCell="A2" activePane="bottomLeft" state="frozen"/>
      <selection pane="bottomLeft" activeCell="A2" sqref="A2"/>
    </sheetView>
  </sheetViews>
  <sheetFormatPr defaultRowHeight="14.25" x14ac:dyDescent="0.45"/>
  <cols>
    <col min="1" max="1" width="24" style="6" customWidth="1"/>
    <col min="2" max="2" width="14" style="6" customWidth="1"/>
    <col min="3" max="4" width="42" style="6" customWidth="1"/>
    <col min="5" max="7" width="24" style="6" customWidth="1"/>
    <col min="8" max="8" width="26" style="6" customWidth="1"/>
  </cols>
  <sheetData>
    <row r="1" spans="1:5" ht="26" customHeight="1" x14ac:dyDescent="0.45">
      <c r="A1" s="2" t="s">
        <v>15</v>
      </c>
      <c r="B1" s="2" t="s">
        <v>17</v>
      </c>
      <c r="C1" s="2" t="s">
        <v>19</v>
      </c>
      <c r="D1" s="2" t="s">
        <v>21</v>
      </c>
      <c r="E1" s="2" t="s">
        <v>23</v>
      </c>
    </row>
    <row r="2" spans="1:5" ht="22.05" customHeight="1" x14ac:dyDescent="0.45">
      <c r="A2" s="1" t="s">
        <v>142</v>
      </c>
      <c r="B2" s="1">
        <v>5000</v>
      </c>
      <c r="C2" s="1" t="s">
        <v>143</v>
      </c>
      <c r="D2" s="1" t="s">
        <v>144</v>
      </c>
      <c r="E2" s="1" t="s">
        <v>116</v>
      </c>
    </row>
    <row r="3" spans="1:5" ht="22.05" customHeight="1" x14ac:dyDescent="0.45">
      <c r="A3" s="1" t="s">
        <v>145</v>
      </c>
      <c r="B3" s="1">
        <v>10000</v>
      </c>
      <c r="C3" s="1" t="s">
        <v>146</v>
      </c>
      <c r="D3" s="1" t="s">
        <v>147</v>
      </c>
      <c r="E3" s="1" t="s">
        <v>109</v>
      </c>
    </row>
    <row r="6" spans="1:5" ht="24" customHeight="1" x14ac:dyDescent="0.45"/>
  </sheetData>
  <autoFilter ref="A1:G200" xr:uid="{00000000-0009-0000-0000-000002000000}"/>
  <dataValidations count="1">
    <dataValidation type="list" sqref="E2:E200" xr:uid="{00000000-0002-0000-0200-000000000000}">
      <formula1>"OVERWRITE_TABLE,OVERWRITE_PARTITIONS,APPEND"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D2"/>
  <sheetViews>
    <sheetView workbookViewId="0">
      <pane ySplit="1" topLeftCell="A2" activePane="bottomLeft" state="frozen"/>
      <selection pane="bottomLeft" activeCell="B2" sqref="B2"/>
    </sheetView>
  </sheetViews>
  <sheetFormatPr defaultRowHeight="14.25" x14ac:dyDescent="0.45"/>
  <cols>
    <col min="1" max="2" width="80" style="6" customWidth="1"/>
    <col min="3" max="4" width="30" style="6" customWidth="1"/>
  </cols>
  <sheetData>
    <row r="1" spans="1:4" ht="26" customHeight="1" x14ac:dyDescent="0.45">
      <c r="A1" s="2" t="s">
        <v>43</v>
      </c>
      <c r="B1" s="2" t="s">
        <v>45</v>
      </c>
      <c r="C1" s="2" t="s">
        <v>47</v>
      </c>
      <c r="D1" s="2" t="s">
        <v>49</v>
      </c>
    </row>
    <row r="2" spans="1:4" ht="156.75" customHeight="1" x14ac:dyDescent="0.45">
      <c r="A2" s="1" t="s">
        <v>148</v>
      </c>
      <c r="B2" s="1" t="s">
        <v>149</v>
      </c>
      <c r="C2" s="1"/>
      <c r="D2" s="1"/>
    </row>
  </sheetData>
  <autoFilter ref="A1:D20" xr:uid="{00000000-0009-0000-0000-000003000000}"/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J6"/>
  <sheetViews>
    <sheetView workbookViewId="0">
      <pane ySplit="1" topLeftCell="A2" activePane="bottomLeft" state="frozen"/>
      <selection pane="bottomLeft" activeCell="D3" sqref="D3"/>
    </sheetView>
  </sheetViews>
  <sheetFormatPr defaultRowHeight="14.25" x14ac:dyDescent="0.45"/>
  <cols>
    <col min="1" max="1" width="22.86328125" style="6" customWidth="1"/>
    <col min="2" max="2" width="16" style="6" customWidth="1"/>
    <col min="3" max="3" width="18" style="6" customWidth="1"/>
    <col min="4" max="4" width="48" style="6" customWidth="1"/>
    <col min="5" max="5" width="38" style="6" customWidth="1"/>
    <col min="6" max="6" width="16" style="6" customWidth="1"/>
    <col min="7" max="7" width="36" style="6" customWidth="1"/>
    <col min="8" max="8" width="58" style="6" customWidth="1"/>
    <col min="9" max="10" width="34" style="6" customWidth="1"/>
  </cols>
  <sheetData>
    <row r="1" spans="1:10" ht="30" customHeight="1" x14ac:dyDescent="0.45">
      <c r="A1" s="10" t="s">
        <v>26</v>
      </c>
      <c r="B1" s="10" t="s">
        <v>28</v>
      </c>
      <c r="C1" s="10" t="s">
        <v>30</v>
      </c>
      <c r="D1" s="10" t="s">
        <v>34</v>
      </c>
      <c r="E1" s="10" t="s">
        <v>36</v>
      </c>
      <c r="F1" s="10" t="s">
        <v>38</v>
      </c>
      <c r="G1" s="10" t="s">
        <v>40</v>
      </c>
      <c r="H1" s="11" t="s">
        <v>150</v>
      </c>
      <c r="I1" s="11" t="s">
        <v>151</v>
      </c>
      <c r="J1" s="12" t="s">
        <v>152</v>
      </c>
    </row>
    <row r="2" spans="1:10" ht="85.5" customHeight="1" x14ac:dyDescent="0.45">
      <c r="A2" s="8" t="s">
        <v>153</v>
      </c>
      <c r="B2" s="8" t="s">
        <v>113</v>
      </c>
      <c r="C2" s="8"/>
      <c r="D2" s="8" t="s">
        <v>154</v>
      </c>
      <c r="E2" s="8"/>
      <c r="F2" s="8" t="s">
        <v>110</v>
      </c>
      <c r="G2" s="8"/>
      <c r="H2" s="7" t="str">
        <f>IF($E2&lt;&gt;"","Для reference допустим только null_ratio=0..1. gen_data_type и output_data_type выводятся из parent column.",IF($G2&lt;&gt;"","Для derive укажите output_data_type и engine_scope; доступные rule: YYYYMMDD|YYYY|MM; gen_data_type/constraints/reference оставьте пустыми.",IFERROR(VLOOKUP($B2,'Constant List'!$A$2:$B$7,2,FALSE),"Тип генерации не заполнен")))</f>
        <v>Формат constraints:
null_ratio=0..1;
is_unique=true/false;
allowed_values=[1, 2, 3];
min_value=0;
max_value=1000</v>
      </c>
      <c r="I2" s="7" t="str">
        <f>'Constant List'!$J$2</f>
        <v>table_name="company_groups";
column_name="INN";
cardinality="ONE_TO_MANY|ONE_TO_ONE"</v>
      </c>
      <c r="J2" s="9" t="str">
        <f>'Constant List'!$K$2</f>
        <v>source_column="VALUE_DAY";
rule="YYYYMMDD|YYYY|MM"</v>
      </c>
    </row>
    <row r="3" spans="1:10" ht="46.05" customHeight="1" x14ac:dyDescent="0.45">
      <c r="A3" s="8" t="s">
        <v>155</v>
      </c>
      <c r="B3" s="8" t="s">
        <v>113</v>
      </c>
      <c r="C3" s="8"/>
      <c r="D3" s="8" t="s">
        <v>156</v>
      </c>
      <c r="E3" s="8"/>
      <c r="F3" s="8" t="s">
        <v>110</v>
      </c>
      <c r="G3" s="8"/>
      <c r="H3" s="7" t="str">
        <f>IF($E3&lt;&gt;"","Для reference допустим только null_ratio=0..1. gen_data_type и output_data_type выводятся из parent column.",IF($G3&lt;&gt;"","Для derive укажите output_data_type и engine_scope; доступные rule: YYYYMMDD|YYYY|MM; gen_data_type/constraints/reference оставьте пустыми.",IFERROR(VLOOKUP($B3,'Constant List'!$A$2:$B$7,2,FALSE),"Тип генерации не заполнен")))</f>
        <v>Формат constraints:
null_ratio=0..1;
is_unique=true/false;
allowed_values=[1, 2, 3];
min_value=0;
max_value=1000</v>
      </c>
      <c r="I3" s="7" t="str">
        <f>'Constant List'!$J$2</f>
        <v>table_name="company_groups";
column_name="INN";
cardinality="ONE_TO_MANY|ONE_TO_ONE"</v>
      </c>
      <c r="J3" s="9" t="str">
        <f>'Constant List'!$K$2</f>
        <v>source_column="VALUE_DAY";
rule="YYYYMMDD|YYYY|MM"</v>
      </c>
    </row>
    <row r="4" spans="1:10" ht="28.05" customHeight="1" x14ac:dyDescent="0.45">
      <c r="A4" s="8" t="s">
        <v>157</v>
      </c>
      <c r="B4" s="8" t="s">
        <v>113</v>
      </c>
      <c r="C4" s="8"/>
      <c r="D4" s="8" t="s">
        <v>158</v>
      </c>
      <c r="E4" s="8"/>
      <c r="F4" s="8" t="s">
        <v>110</v>
      </c>
      <c r="G4" s="8"/>
      <c r="H4" s="7" t="str">
        <f>IF($E4&lt;&gt;"","Для reference допустим только null_ratio=0..1. gen_data_type и output_data_type выводятся из parent column.",IF($G4&lt;&gt;"","Для derive укажите output_data_type и engine_scope; доступные rule: YYYYMMDD|YYYY|MM; gen_data_type/constraints/reference оставьте пустыми.",IFERROR(VLOOKUP($B4,'Constant List'!$A$2:$B$7,2,FALSE),"Тип генерации не заполнен")))</f>
        <v>Формат constraints:
null_ratio=0..1;
is_unique=true/false;
allowed_values=[1, 2, 3];
min_value=0;
max_value=1000</v>
      </c>
      <c r="I4" s="7" t="str">
        <f>'Constant List'!$J$2</f>
        <v>table_name="company_groups";
column_name="INN";
cardinality="ONE_TO_MANY|ONE_TO_ONE"</v>
      </c>
      <c r="J4" s="9" t="str">
        <f>'Constant List'!$K$2</f>
        <v>source_column="VALUE_DAY";
rule="YYYYMMDD|YYYY|MM"</v>
      </c>
    </row>
    <row r="5" spans="1:10" ht="99.75" customHeight="1" x14ac:dyDescent="0.45">
      <c r="A5" s="8" t="s">
        <v>159</v>
      </c>
      <c r="B5" s="8" t="s">
        <v>126</v>
      </c>
      <c r="C5" s="8"/>
      <c r="D5" s="8" t="s">
        <v>160</v>
      </c>
      <c r="E5" s="8"/>
      <c r="F5" s="8" t="s">
        <v>110</v>
      </c>
      <c r="G5" s="8"/>
      <c r="H5" s="7" t="str">
        <f>IF($E5&lt;&gt;"","Для reference допустим только null_ratio=0..1. gen_data_type и output_data_type выводятся из parent column.",IF($G5&lt;&gt;"","Для derive укажите output_data_type и engine_scope; доступные rule: YYYYMMDD|YYYY|MM; gen_data_type/constraints/reference оставьте пустыми.",IFERROR(VLOOKUP($B5,'Constant List'!$A$2:$B$7,2,FALSE),"Тип генерации не заполнен")))</f>
        <v>Формат constraints:
null_ratio=0..1;
is_unique=true/false;
allowed_values=["2024-01-01", "2024-01-02"];
min_value="2024-01-01";
max_value="2024-12-31";
date_format="%Y-%m-%d"</v>
      </c>
      <c r="I5" s="7" t="str">
        <f>'Constant List'!$J$2</f>
        <v>table_name="company_groups";
column_name="INN";
cardinality="ONE_TO_MANY|ONE_TO_ONE"</v>
      </c>
      <c r="J5" s="9" t="str">
        <f>'Constant List'!$K$2</f>
        <v>source_column="VALUE_DAY";
rule="YYYYMMDD|YYYY|MM"</v>
      </c>
    </row>
    <row r="6" spans="1:10" ht="28.05" customHeight="1" x14ac:dyDescent="0.45">
      <c r="A6" s="8" t="s">
        <v>161</v>
      </c>
      <c r="B6" s="8"/>
      <c r="C6" s="8" t="s">
        <v>113</v>
      </c>
      <c r="D6" s="8"/>
      <c r="E6" s="8"/>
      <c r="F6" s="8" t="s">
        <v>117</v>
      </c>
      <c r="G6" s="8" t="s">
        <v>162</v>
      </c>
      <c r="H6" s="7" t="str">
        <f>IF($E6&lt;&gt;"","Для reference допустим только null_ratio=0..1. gen_data_type и output_data_type выводятся из parent column.",IF($G6&lt;&gt;"","Для derive укажите output_data_type и engine_scope; доступные rule: YYYYMMDD|YYYY|MM; gen_data_type/constraints/reference оставьте пустыми.",IFERROR(VLOOKUP($B6,'Constant List'!$A$2:$B$7,2,FALSE),"Тип генерации не заполнен")))</f>
        <v>Для derive укажите output_data_type и engine_scope; доступные rule: YYYYMMDD|YYYY|MM; gen_data_type/constraints/reference оставьте пустыми.</v>
      </c>
      <c r="I6" s="7" t="str">
        <f>'Constant List'!$J$2</f>
        <v>table_name="company_groups";
column_name="INN";
cardinality="ONE_TO_MANY|ONE_TO_ONE"</v>
      </c>
      <c r="J6" s="9" t="str">
        <f>'Constant List'!$K$2</f>
        <v>source_column="VALUE_DAY";
rule="YYYYMMDD|YYYY|MM"</v>
      </c>
    </row>
  </sheetData>
  <autoFilter ref="A1:J6" xr:uid="{00000000-0009-0000-0000-000004000000}"/>
  <dataValidations count="2">
    <dataValidation type="list" allowBlank="1" sqref="B2:B500 C2:C500" xr:uid="{00000000-0002-0000-0400-000000000000}">
      <formula1>"STRING,INT,FLOAT,DATE,TIMESTAMP,BOOLEAN"</formula1>
    </dataValidation>
    <dataValidation type="list" allowBlank="1" sqref="F2:F500" xr:uid="{00000000-0002-0000-0400-000001000000}">
      <formula1>"ALL,HIVE_ONLY,ICEBERG_ONLY"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J7"/>
  <sheetViews>
    <sheetView workbookViewId="0">
      <pane ySplit="1" topLeftCell="A2" activePane="bottomLeft" state="frozen"/>
      <selection pane="bottomLeft" activeCell="A6" sqref="A6:XFD6"/>
    </sheetView>
  </sheetViews>
  <sheetFormatPr defaultRowHeight="14.25" x14ac:dyDescent="0.45"/>
  <cols>
    <col min="1" max="1" width="20" style="6" customWidth="1"/>
    <col min="2" max="2" width="16" style="6" customWidth="1"/>
    <col min="3" max="3" width="18" style="6" customWidth="1"/>
    <col min="4" max="4" width="48" style="6" customWidth="1"/>
    <col min="5" max="5" width="38" style="6" customWidth="1"/>
    <col min="6" max="6" width="16" style="6" customWidth="1"/>
    <col min="7" max="7" width="36" style="6" bestFit="1" customWidth="1"/>
    <col min="8" max="8" width="58" style="6" customWidth="1"/>
    <col min="9" max="10" width="34" style="6" customWidth="1"/>
  </cols>
  <sheetData>
    <row r="1" spans="1:10" ht="30" customHeight="1" x14ac:dyDescent="0.45">
      <c r="A1" s="10" t="s">
        <v>26</v>
      </c>
      <c r="B1" s="10" t="s">
        <v>28</v>
      </c>
      <c r="C1" s="10" t="s">
        <v>30</v>
      </c>
      <c r="D1" s="10" t="s">
        <v>34</v>
      </c>
      <c r="E1" s="10" t="s">
        <v>36</v>
      </c>
      <c r="F1" s="10" t="s">
        <v>38</v>
      </c>
      <c r="G1" s="10" t="s">
        <v>40</v>
      </c>
      <c r="H1" s="11" t="s">
        <v>150</v>
      </c>
      <c r="I1" s="11" t="s">
        <v>151</v>
      </c>
      <c r="J1" s="12" t="s">
        <v>152</v>
      </c>
    </row>
    <row r="2" spans="1:10" ht="28.05" customHeight="1" x14ac:dyDescent="0.45">
      <c r="A2" s="8" t="s">
        <v>163</v>
      </c>
      <c r="B2" s="8" t="s">
        <v>104</v>
      </c>
      <c r="C2" s="8"/>
      <c r="D2" s="8" t="s">
        <v>164</v>
      </c>
      <c r="E2" s="8"/>
      <c r="F2" s="8" t="s">
        <v>110</v>
      </c>
      <c r="G2" s="8"/>
      <c r="H2" s="7" t="str">
        <f>IF($E2&lt;&gt;"","Для reference допустим только null_ratio=0..1. gen_data_type и output_data_type выводятся из parent column.",IF($G2&lt;&gt;"","Для derive укажите output_data_type и engine_scope; доступные rule: YYYYMMDD|YYYY|MM; gen_data_type/constraints/reference оставьте пустыми.",IFERROR(VLOOKUP($B2,'Constant List'!$A$2:$B$7,2,FALSE),"Тип генерации не заполнен")))</f>
        <v>Формат constraints:
null_ratio=0..1;
is_unique=true/false;
allowed_values=["A", "B"];
length=10;
character_set="letters|digits|alphanumeric";
case_mode="mixed|lower|upper";
regular_expr="^[A-Z0-9]{6}$"</v>
      </c>
      <c r="I2" s="7" t="str">
        <f>'Constant List'!$J$2</f>
        <v>table_name="company_groups";
column_name="INN";
cardinality="ONE_TO_MANY|ONE_TO_ONE"</v>
      </c>
      <c r="J2" s="9" t="str">
        <f>'Constant List'!$K$2</f>
        <v>source_column="VALUE_DAY";
rule="YYYYMMDD|YYYY|MM"</v>
      </c>
    </row>
    <row r="3" spans="1:10" ht="46.05" customHeight="1" x14ac:dyDescent="0.45">
      <c r="A3" s="8" t="s">
        <v>165</v>
      </c>
      <c r="B3" s="8"/>
      <c r="C3" s="8"/>
      <c r="D3" s="8"/>
      <c r="E3" s="8" t="s">
        <v>166</v>
      </c>
      <c r="F3" s="8" t="s">
        <v>110</v>
      </c>
      <c r="G3" s="8"/>
      <c r="H3" s="7" t="str">
        <f>IF($E3&lt;&gt;"","Для reference допустим только null_ratio=0..1. gen_data_type и output_data_type выводятся из parent column.",IF($G3&lt;&gt;"","Для derive укажите output_data_type и engine_scope; доступные rule: YYYYMMDD|YYYY|MM; gen_data_type/constraints/reference оставьте пустыми.",IFERROR(VLOOKUP($B3,'Constant List'!$A$2:$B$7,2,FALSE),"Тип генерации не заполнен")))</f>
        <v>Для reference допустим только null_ratio=0..1. gen_data_type и output_data_type выводятся из parent column.</v>
      </c>
      <c r="I3" s="7" t="str">
        <f>'Constant List'!$J$2</f>
        <v>table_name="company_groups";
column_name="INN";
cardinality="ONE_TO_MANY|ONE_TO_ONE"</v>
      </c>
      <c r="J3" s="9" t="str">
        <f>'Constant List'!$K$2</f>
        <v>source_column="VALUE_DAY";
rule="YYYYMMDD|YYYY|MM"</v>
      </c>
    </row>
    <row r="4" spans="1:10" ht="46.05" customHeight="1" x14ac:dyDescent="0.45">
      <c r="A4" s="8" t="s">
        <v>167</v>
      </c>
      <c r="B4" s="8" t="s">
        <v>113</v>
      </c>
      <c r="C4" s="8"/>
      <c r="D4" s="8" t="s">
        <v>168</v>
      </c>
      <c r="E4" s="8"/>
      <c r="F4" s="8" t="s">
        <v>110</v>
      </c>
      <c r="G4" s="8"/>
      <c r="H4" s="7" t="str">
        <f>IF($E4&lt;&gt;"","Для reference допустим только null_ratio=0..1. gen_data_type и output_data_type выводятся из parent column.",IF($G4&lt;&gt;"","Для derive укажите output_data_type и engine_scope; доступные rule: YYYYMMDD|YYYY|MM; gen_data_type/constraints/reference оставьте пустыми.",IFERROR(VLOOKUP($B4,'Constant List'!$A$2:$B$7,2,FALSE),"Тип генерации не заполнен")))</f>
        <v>Формат constraints:
null_ratio=0..1;
is_unique=true/false;
allowed_values=[1, 2, 3];
min_value=0;
max_value=1000</v>
      </c>
      <c r="I4" s="7" t="str">
        <f>'Constant List'!$J$2</f>
        <v>table_name="company_groups";
column_name="INN";
cardinality="ONE_TO_MANY|ONE_TO_ONE"</v>
      </c>
      <c r="J4" s="9" t="str">
        <f>'Constant List'!$K$2</f>
        <v>source_column="VALUE_DAY";
rule="YYYYMMDD|YYYY|MM"</v>
      </c>
    </row>
    <row r="5" spans="1:10" ht="46.05" customHeight="1" x14ac:dyDescent="0.45">
      <c r="A5" s="8" t="s">
        <v>169</v>
      </c>
      <c r="B5" s="8" t="s">
        <v>104</v>
      </c>
      <c r="C5" s="8"/>
      <c r="D5" s="8" t="s">
        <v>170</v>
      </c>
      <c r="E5" s="8"/>
      <c r="F5" s="8" t="s">
        <v>110</v>
      </c>
      <c r="G5" s="8"/>
      <c r="H5" s="7" t="str">
        <f>IF($E5&lt;&gt;"","Для reference допустим только null_ratio=0..1. gen_data_type и output_data_type выводятся из parent column.",IF($G5&lt;&gt;"","Для derive укажите output_data_type и engine_scope; доступные rule: YYYYMMDD|YYYY|MM; gen_data_type/constraints/reference оставьте пустыми.",IFERROR(VLOOKUP($B5,'Constant List'!$A$2:$B$7,2,FALSE),"Тип генерации не заполнен")))</f>
        <v>Формат constraints:
null_ratio=0..1;
is_unique=true/false;
allowed_values=["A", "B"];
length=10;
character_set="letters|digits|alphanumeric";
case_mode="mixed|lower|upper";
regular_expr="^[A-Z0-9]{6}$"</v>
      </c>
      <c r="I5" s="7" t="str">
        <f>'Constant List'!$J$2</f>
        <v>table_name="company_groups";
column_name="INN";
cardinality="ONE_TO_MANY|ONE_TO_ONE"</v>
      </c>
      <c r="J5" s="9" t="str">
        <f>'Constant List'!$K$2</f>
        <v>source_column="VALUE_DAY";
rule="YYYYMMDD|YYYY|MM"</v>
      </c>
    </row>
    <row r="6" spans="1:10" ht="46.05" customHeight="1" x14ac:dyDescent="0.45">
      <c r="A6" s="8" t="s">
        <v>171</v>
      </c>
      <c r="B6" s="8" t="s">
        <v>104</v>
      </c>
      <c r="C6" s="8"/>
      <c r="D6" s="8" t="s">
        <v>172</v>
      </c>
      <c r="E6" s="8"/>
      <c r="F6" s="8" t="s">
        <v>110</v>
      </c>
      <c r="G6" s="8"/>
      <c r="H6" s="7" t="str">
        <f>IF($E6&lt;&gt;"","Для reference допустим только null_ratio=0..1. gen_data_type и output_data_type выводятся из parent column.",IF($G6&lt;&gt;"","Для derive укажите output_data_type и engine_scope; доступные rule: YYYYMMDD|YYYY|MM; gen_data_type/constraints/reference оставьте пустыми.",IFERROR(VLOOKUP($B6,'Constant List'!$A$2:$B$7,2,FALSE),"Тип генерации не заполнен")))</f>
        <v>Формат constraints:
null_ratio=0..1;
is_unique=true/false;
allowed_values=["A", "B"];
length=10;
character_set="letters|digits|alphanumeric";
case_mode="mixed|lower|upper";
regular_expr="^[A-Z0-9]{6}$"</v>
      </c>
      <c r="I6" s="7" t="str">
        <f>'Constant List'!$J$2</f>
        <v>table_name="company_groups";
column_name="INN";
cardinality="ONE_TO_MANY|ONE_TO_ONE"</v>
      </c>
      <c r="J6" s="9" t="str">
        <f>'Constant List'!$K$2</f>
        <v>source_column="VALUE_DAY";
rule="YYYYMMDD|YYYY|MM"</v>
      </c>
    </row>
    <row r="7" spans="1:10" ht="28.05" customHeight="1" x14ac:dyDescent="0.45">
      <c r="A7" s="8" t="s">
        <v>173</v>
      </c>
      <c r="B7" s="8" t="s">
        <v>113</v>
      </c>
      <c r="C7" s="8"/>
      <c r="D7" s="8" t="s">
        <v>174</v>
      </c>
      <c r="E7" s="8"/>
      <c r="F7" s="8" t="s">
        <v>110</v>
      </c>
      <c r="G7" s="8"/>
      <c r="H7" s="7" t="str">
        <f>IF($E7&lt;&gt;"","Для reference допустим только null_ratio=0..1. gen_data_type и output_data_type выводятся из parent column.",IF($G7&lt;&gt;"","Для derive укажите output_data_type и engine_scope; доступные rule: YYYYMMDD|YYYY|MM; gen_data_type/constraints/reference оставьте пустыми.",IFERROR(VLOOKUP($B7,'Constant List'!$A$2:$B$7,2,FALSE),"Тип генерации не заполнен")))</f>
        <v>Формат constraints:
null_ratio=0..1;
is_unique=true/false;
allowed_values=[1, 2, 3];
min_value=0;
max_value=1000</v>
      </c>
      <c r="I7" s="7" t="str">
        <f>'Constant List'!$J$2</f>
        <v>table_name="company_groups";
column_name="INN";
cardinality="ONE_TO_MANY|ONE_TO_ONE"</v>
      </c>
      <c r="J7" s="9" t="str">
        <f>'Constant List'!$K$2</f>
        <v>source_column="VALUE_DAY";
rule="YYYYMMDD|YYYY|MM"</v>
      </c>
    </row>
  </sheetData>
  <autoFilter ref="A1:J7" xr:uid="{00000000-0009-0000-0000-000005000000}"/>
  <dataValidations count="2">
    <dataValidation type="list" allowBlank="1" sqref="B2:C499" xr:uid="{00000000-0002-0000-0500-000000000000}">
      <formula1>"STRING,INT,FLOAT,DATE,TIMESTAMP,BOOLEAN"</formula1>
    </dataValidation>
    <dataValidation type="list" allowBlank="1" sqref="F2:F499" xr:uid="{00000000-0002-0000-0500-000001000000}">
      <formula1>"ALL,HIVE_ONLY,ICEBERG_ONLY"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6</vt:i4>
      </vt:variant>
      <vt:variant>
        <vt:lpstr>Именованные диапазоны</vt:lpstr>
      </vt:variant>
      <vt:variant>
        <vt:i4>8</vt:i4>
      </vt:variant>
    </vt:vector>
  </HeadingPairs>
  <TitlesOfParts>
    <vt:vector size="14" baseType="lpstr">
      <vt:lpstr>Инструкция</vt:lpstr>
      <vt:lpstr>Constant List</vt:lpstr>
      <vt:lpstr>tables</vt:lpstr>
      <vt:lpstr>queries</vt:lpstr>
      <vt:lpstr>company_groups</vt:lpstr>
      <vt:lpstr>subjects</vt:lpstr>
      <vt:lpstr>BOOL_VALUES</vt:lpstr>
      <vt:lpstr>GEN_TYPES</vt:lpstr>
      <vt:lpstr>OUTPUT_TYPES_BOOLEAN</vt:lpstr>
      <vt:lpstr>OUTPUT_TYPES_DATE</vt:lpstr>
      <vt:lpstr>OUTPUT_TYPES_FLOAT</vt:lpstr>
      <vt:lpstr>OUTPUT_TYPES_INT</vt:lpstr>
      <vt:lpstr>OUTPUT_TYPES_STRING</vt:lpstr>
      <vt:lpstr>OUTPUT_TYPES_TIMESTAMP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Мусин Рашат Канатович</cp:lastModifiedBy>
  <dcterms:created xsi:type="dcterms:W3CDTF">2026-03-25T11:28:20Z</dcterms:created>
  <dcterms:modified xsi:type="dcterms:W3CDTF">2026-04-16T18:56:52Z</dcterms:modified>
</cp:coreProperties>
</file>